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PR新品分配\"/>
    </mc:Choice>
  </mc:AlternateContent>
  <xr:revisionPtr revIDLastSave="0" documentId="13_ncr:1_{22640FA0-7C35-4821-85E1-E68AC4CED07F}" xr6:coauthVersionLast="47" xr6:coauthVersionMax="47" xr10:uidLastSave="{00000000-0000-0000-0000-000000000000}"/>
  <bookViews>
    <workbookView xWindow="-120" yWindow="-120" windowWidth="20730" windowHeight="11160" activeTab="3" xr2:uid="{00000000-000D-0000-FFFF-FFFF00000000}"/>
  </bookViews>
  <sheets>
    <sheet name="库存" sheetId="1" r:id="rId1"/>
    <sheet name="销售" sheetId="2" r:id="rId2"/>
    <sheet name="卖场等级" sheetId="3" r:id="rId3"/>
    <sheet name="加单数量" sheetId="4" r:id="rId4"/>
    <sheet name="结果格式" sheetId="5" r:id="rId5"/>
    <sheet name="规则" sheetId="6" r:id="rId6"/>
    <sheet name="参数设置" sheetId="9" r:id="rId7"/>
  </sheets>
  <definedNames>
    <definedName name="_xlnm._FilterDatabase" localSheetId="0" hidden="1">库存!$A$1:$W$531</definedName>
    <definedName name="_xlnm._FilterDatabase" localSheetId="2" hidden="1">卖场等级!$A$1:$F$144</definedName>
    <definedName name="_xlnm._FilterDatabase" localSheetId="1" hidden="1">销售!$A$1:$L$1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1" l="1"/>
  <c r="A5" i="4"/>
  <c r="A4" i="4"/>
  <c r="A3" i="4"/>
  <c r="A2" i="4"/>
  <c r="E5" i="4"/>
  <c r="F5" i="4" s="1"/>
  <c r="B5" i="4"/>
  <c r="E4" i="4"/>
  <c r="F4" i="4" s="1"/>
  <c r="B4" i="4"/>
  <c r="F3" i="4"/>
  <c r="E3" i="4"/>
  <c r="B3" i="4"/>
  <c r="F2" i="4"/>
  <c r="E2" i="4"/>
  <c r="B2" i="4"/>
  <c r="L531" i="1"/>
  <c r="K531" i="1"/>
  <c r="J531" i="1"/>
  <c r="I531" i="1"/>
  <c r="H531" i="1"/>
  <c r="F531" i="1"/>
  <c r="E531" i="1"/>
  <c r="D531" i="1"/>
  <c r="C531" i="1"/>
  <c r="A531" i="1"/>
  <c r="L530" i="1"/>
  <c r="K530" i="1"/>
  <c r="J530" i="1"/>
  <c r="I530" i="1"/>
  <c r="H530" i="1"/>
  <c r="F530" i="1"/>
  <c r="E530" i="1"/>
  <c r="D530" i="1"/>
  <c r="C530" i="1"/>
  <c r="A530" i="1"/>
  <c r="L529" i="1"/>
  <c r="K529" i="1"/>
  <c r="J529" i="1"/>
  <c r="I529" i="1"/>
  <c r="H529" i="1"/>
  <c r="F529" i="1"/>
  <c r="E529" i="1"/>
  <c r="D529" i="1"/>
  <c r="C529" i="1"/>
  <c r="A529" i="1"/>
  <c r="L528" i="1"/>
  <c r="K528" i="1"/>
  <c r="J528" i="1"/>
  <c r="I528" i="1"/>
  <c r="H528" i="1"/>
  <c r="F528" i="1"/>
  <c r="E528" i="1"/>
  <c r="D528" i="1"/>
  <c r="C528" i="1"/>
  <c r="B528" i="1"/>
  <c r="A528" i="1"/>
  <c r="L527" i="1"/>
  <c r="K527" i="1"/>
  <c r="J527" i="1"/>
  <c r="I527" i="1"/>
  <c r="H527" i="1"/>
  <c r="F527" i="1"/>
  <c r="E527" i="1"/>
  <c r="D527" i="1"/>
  <c r="C527" i="1"/>
  <c r="B527" i="1"/>
  <c r="A527" i="1"/>
  <c r="L526" i="1"/>
  <c r="K526" i="1"/>
  <c r="J526" i="1"/>
  <c r="I526" i="1"/>
  <c r="H526" i="1"/>
  <c r="F526" i="1"/>
  <c r="E526" i="1"/>
  <c r="D526" i="1"/>
  <c r="C526" i="1"/>
  <c r="B526" i="1"/>
  <c r="A526" i="1"/>
  <c r="L525" i="1"/>
  <c r="K525" i="1"/>
  <c r="J525" i="1"/>
  <c r="I525" i="1"/>
  <c r="H525" i="1"/>
  <c r="F525" i="1"/>
  <c r="E525" i="1"/>
  <c r="D525" i="1"/>
  <c r="C525" i="1"/>
  <c r="B525" i="1"/>
  <c r="A525" i="1"/>
  <c r="L524" i="1"/>
  <c r="K524" i="1"/>
  <c r="J524" i="1"/>
  <c r="I524" i="1"/>
  <c r="H524" i="1"/>
  <c r="F524" i="1"/>
  <c r="E524" i="1"/>
  <c r="D524" i="1"/>
  <c r="C524" i="1"/>
  <c r="B524" i="1"/>
  <c r="A524" i="1"/>
  <c r="L523" i="1"/>
  <c r="K523" i="1"/>
  <c r="J523" i="1"/>
  <c r="I523" i="1"/>
  <c r="H523" i="1"/>
  <c r="F523" i="1"/>
  <c r="E523" i="1"/>
  <c r="D523" i="1"/>
  <c r="C523" i="1"/>
  <c r="B523" i="1"/>
  <c r="A523" i="1"/>
  <c r="L522" i="1"/>
  <c r="K522" i="1"/>
  <c r="J522" i="1"/>
  <c r="I522" i="1"/>
  <c r="H522" i="1"/>
  <c r="F522" i="1"/>
  <c r="E522" i="1"/>
  <c r="D522" i="1"/>
  <c r="C522" i="1"/>
  <c r="B522" i="1"/>
  <c r="A522" i="1"/>
  <c r="L521" i="1"/>
  <c r="K521" i="1"/>
  <c r="J521" i="1"/>
  <c r="I521" i="1"/>
  <c r="H521" i="1"/>
  <c r="F521" i="1"/>
  <c r="E521" i="1"/>
  <c r="D521" i="1"/>
  <c r="C521" i="1"/>
  <c r="B521" i="1"/>
  <c r="A521" i="1"/>
  <c r="L520" i="1"/>
  <c r="K520" i="1"/>
  <c r="J520" i="1"/>
  <c r="I520" i="1"/>
  <c r="H520" i="1"/>
  <c r="F520" i="1"/>
  <c r="E520" i="1"/>
  <c r="D520" i="1"/>
  <c r="C520" i="1"/>
  <c r="B520" i="1"/>
  <c r="A520" i="1"/>
  <c r="L519" i="1"/>
  <c r="K519" i="1"/>
  <c r="J519" i="1"/>
  <c r="I519" i="1"/>
  <c r="H519" i="1"/>
  <c r="F519" i="1"/>
  <c r="E519" i="1"/>
  <c r="D519" i="1"/>
  <c r="C519" i="1"/>
  <c r="B519" i="1"/>
  <c r="A519" i="1"/>
  <c r="L518" i="1"/>
  <c r="K518" i="1"/>
  <c r="J518" i="1"/>
  <c r="I518" i="1"/>
  <c r="H518" i="1"/>
  <c r="F518" i="1"/>
  <c r="E518" i="1"/>
  <c r="D518" i="1"/>
  <c r="C518" i="1"/>
  <c r="B518" i="1"/>
  <c r="A518" i="1"/>
  <c r="L517" i="1"/>
  <c r="K517" i="1"/>
  <c r="J517" i="1"/>
  <c r="I517" i="1"/>
  <c r="H517" i="1"/>
  <c r="F517" i="1"/>
  <c r="E517" i="1"/>
  <c r="D517" i="1"/>
  <c r="C517" i="1"/>
  <c r="B517" i="1"/>
  <c r="A517" i="1"/>
  <c r="L516" i="1"/>
  <c r="K516" i="1"/>
  <c r="J516" i="1"/>
  <c r="I516" i="1"/>
  <c r="H516" i="1"/>
  <c r="F516" i="1"/>
  <c r="E516" i="1"/>
  <c r="D516" i="1"/>
  <c r="C516" i="1"/>
  <c r="B516" i="1"/>
  <c r="A516" i="1"/>
  <c r="L515" i="1"/>
  <c r="K515" i="1"/>
  <c r="J515" i="1"/>
  <c r="I515" i="1"/>
  <c r="H515" i="1"/>
  <c r="F515" i="1"/>
  <c r="E515" i="1"/>
  <c r="D515" i="1"/>
  <c r="C515" i="1"/>
  <c r="B515" i="1"/>
  <c r="A515" i="1"/>
  <c r="L514" i="1"/>
  <c r="K514" i="1"/>
  <c r="J514" i="1"/>
  <c r="I514" i="1"/>
  <c r="H514" i="1"/>
  <c r="F514" i="1"/>
  <c r="E514" i="1"/>
  <c r="D514" i="1"/>
  <c r="C514" i="1"/>
  <c r="B514" i="1"/>
  <c r="A514" i="1"/>
  <c r="L513" i="1"/>
  <c r="K513" i="1"/>
  <c r="J513" i="1"/>
  <c r="I513" i="1"/>
  <c r="H513" i="1"/>
  <c r="F513" i="1"/>
  <c r="E513" i="1"/>
  <c r="D513" i="1"/>
  <c r="C513" i="1"/>
  <c r="B513" i="1"/>
  <c r="A513" i="1"/>
  <c r="L512" i="1"/>
  <c r="K512" i="1"/>
  <c r="J512" i="1"/>
  <c r="I512" i="1"/>
  <c r="H512" i="1"/>
  <c r="F512" i="1"/>
  <c r="E512" i="1"/>
  <c r="D512" i="1"/>
  <c r="C512" i="1"/>
  <c r="B512" i="1"/>
  <c r="A512" i="1"/>
  <c r="L511" i="1"/>
  <c r="K511" i="1"/>
  <c r="J511" i="1"/>
  <c r="I511" i="1"/>
  <c r="H511" i="1"/>
  <c r="F511" i="1"/>
  <c r="E511" i="1"/>
  <c r="D511" i="1"/>
  <c r="C511" i="1"/>
  <c r="B511" i="1"/>
  <c r="A511" i="1"/>
  <c r="L510" i="1"/>
  <c r="K510" i="1"/>
  <c r="J510" i="1"/>
  <c r="I510" i="1"/>
  <c r="H510" i="1"/>
  <c r="F510" i="1"/>
  <c r="E510" i="1"/>
  <c r="D510" i="1"/>
  <c r="C510" i="1"/>
  <c r="B510" i="1"/>
  <c r="A510" i="1"/>
  <c r="L509" i="1"/>
  <c r="K509" i="1"/>
  <c r="J509" i="1"/>
  <c r="I509" i="1"/>
  <c r="H509" i="1"/>
  <c r="F509" i="1"/>
  <c r="E509" i="1"/>
  <c r="D509" i="1"/>
  <c r="C509" i="1"/>
  <c r="B509" i="1"/>
  <c r="A509" i="1"/>
  <c r="L508" i="1"/>
  <c r="K508" i="1"/>
  <c r="J508" i="1"/>
  <c r="I508" i="1"/>
  <c r="H508" i="1"/>
  <c r="F508" i="1"/>
  <c r="E508" i="1"/>
  <c r="D508" i="1"/>
  <c r="C508" i="1"/>
  <c r="B508" i="1"/>
  <c r="A508" i="1"/>
  <c r="L507" i="1"/>
  <c r="K507" i="1"/>
  <c r="J507" i="1"/>
  <c r="I507" i="1"/>
  <c r="H507" i="1"/>
  <c r="F507" i="1"/>
  <c r="E507" i="1"/>
  <c r="D507" i="1"/>
  <c r="C507" i="1"/>
  <c r="B507" i="1"/>
  <c r="A507" i="1"/>
  <c r="L506" i="1"/>
  <c r="K506" i="1"/>
  <c r="J506" i="1"/>
  <c r="I506" i="1"/>
  <c r="H506" i="1"/>
  <c r="F506" i="1"/>
  <c r="E506" i="1"/>
  <c r="D506" i="1"/>
  <c r="C506" i="1"/>
  <c r="B506" i="1"/>
  <c r="A506" i="1"/>
  <c r="L505" i="1"/>
  <c r="K505" i="1"/>
  <c r="J505" i="1"/>
  <c r="I505" i="1"/>
  <c r="H505" i="1"/>
  <c r="F505" i="1"/>
  <c r="E505" i="1"/>
  <c r="D505" i="1"/>
  <c r="C505" i="1"/>
  <c r="B505" i="1"/>
  <c r="A505" i="1"/>
  <c r="L504" i="1"/>
  <c r="K504" i="1"/>
  <c r="J504" i="1"/>
  <c r="I504" i="1"/>
  <c r="H504" i="1"/>
  <c r="F504" i="1"/>
  <c r="E504" i="1"/>
  <c r="D504" i="1"/>
  <c r="C504" i="1"/>
  <c r="B504" i="1"/>
  <c r="A504" i="1"/>
  <c r="L503" i="1"/>
  <c r="K503" i="1"/>
  <c r="J503" i="1"/>
  <c r="I503" i="1"/>
  <c r="H503" i="1"/>
  <c r="F503" i="1"/>
  <c r="E503" i="1"/>
  <c r="D503" i="1"/>
  <c r="C503" i="1"/>
  <c r="B503" i="1"/>
  <c r="A503" i="1"/>
  <c r="L502" i="1"/>
  <c r="K502" i="1"/>
  <c r="J502" i="1"/>
  <c r="I502" i="1"/>
  <c r="H502" i="1"/>
  <c r="F502" i="1"/>
  <c r="E502" i="1"/>
  <c r="D502" i="1"/>
  <c r="C502" i="1"/>
  <c r="B502" i="1"/>
  <c r="A502" i="1"/>
  <c r="L501" i="1"/>
  <c r="K501" i="1"/>
  <c r="J501" i="1"/>
  <c r="I501" i="1"/>
  <c r="H501" i="1"/>
  <c r="F501" i="1"/>
  <c r="E501" i="1"/>
  <c r="D501" i="1"/>
  <c r="C501" i="1"/>
  <c r="B501" i="1"/>
  <c r="A501" i="1"/>
  <c r="L500" i="1"/>
  <c r="K500" i="1"/>
  <c r="J500" i="1"/>
  <c r="I500" i="1"/>
  <c r="H500" i="1"/>
  <c r="F500" i="1"/>
  <c r="E500" i="1"/>
  <c r="D500" i="1"/>
  <c r="C500" i="1"/>
  <c r="B500" i="1"/>
  <c r="A500" i="1"/>
  <c r="L499" i="1"/>
  <c r="K499" i="1"/>
  <c r="J499" i="1"/>
  <c r="I499" i="1"/>
  <c r="H499" i="1"/>
  <c r="F499" i="1"/>
  <c r="E499" i="1"/>
  <c r="D499" i="1"/>
  <c r="C499" i="1"/>
  <c r="B499" i="1"/>
  <c r="A499" i="1"/>
  <c r="L498" i="1"/>
  <c r="K498" i="1"/>
  <c r="J498" i="1"/>
  <c r="I498" i="1"/>
  <c r="H498" i="1"/>
  <c r="F498" i="1"/>
  <c r="E498" i="1"/>
  <c r="D498" i="1"/>
  <c r="C498" i="1"/>
  <c r="B498" i="1"/>
  <c r="A498" i="1"/>
  <c r="L497" i="1"/>
  <c r="K497" i="1"/>
  <c r="J497" i="1"/>
  <c r="I497" i="1"/>
  <c r="H497" i="1"/>
  <c r="F497" i="1"/>
  <c r="E497" i="1"/>
  <c r="D497" i="1"/>
  <c r="C497" i="1"/>
  <c r="B497" i="1"/>
  <c r="A497" i="1"/>
  <c r="L496" i="1"/>
  <c r="K496" i="1"/>
  <c r="J496" i="1"/>
  <c r="I496" i="1"/>
  <c r="H496" i="1"/>
  <c r="F496" i="1"/>
  <c r="E496" i="1"/>
  <c r="D496" i="1"/>
  <c r="C496" i="1"/>
  <c r="B496" i="1"/>
  <c r="A496" i="1"/>
  <c r="L495" i="1"/>
  <c r="K495" i="1"/>
  <c r="J495" i="1"/>
  <c r="I495" i="1"/>
  <c r="H495" i="1"/>
  <c r="F495" i="1"/>
  <c r="E495" i="1"/>
  <c r="D495" i="1"/>
  <c r="C495" i="1"/>
  <c r="B495" i="1"/>
  <c r="A495" i="1"/>
  <c r="L494" i="1"/>
  <c r="K494" i="1"/>
  <c r="J494" i="1"/>
  <c r="I494" i="1"/>
  <c r="H494" i="1"/>
  <c r="F494" i="1"/>
  <c r="E494" i="1"/>
  <c r="D494" i="1"/>
  <c r="C494" i="1"/>
  <c r="B494" i="1"/>
  <c r="A494" i="1"/>
  <c r="L493" i="1"/>
  <c r="K493" i="1"/>
  <c r="J493" i="1"/>
  <c r="I493" i="1"/>
  <c r="H493" i="1"/>
  <c r="F493" i="1"/>
  <c r="E493" i="1"/>
  <c r="D493" i="1"/>
  <c r="C493" i="1"/>
  <c r="B493" i="1"/>
  <c r="A493" i="1"/>
  <c r="L492" i="1"/>
  <c r="K492" i="1"/>
  <c r="J492" i="1"/>
  <c r="I492" i="1"/>
  <c r="H492" i="1"/>
  <c r="F492" i="1"/>
  <c r="E492" i="1"/>
  <c r="D492" i="1"/>
  <c r="C492" i="1"/>
  <c r="B492" i="1"/>
  <c r="A492" i="1"/>
  <c r="L491" i="1"/>
  <c r="K491" i="1"/>
  <c r="J491" i="1"/>
  <c r="I491" i="1"/>
  <c r="H491" i="1"/>
  <c r="F491" i="1"/>
  <c r="E491" i="1"/>
  <c r="D491" i="1"/>
  <c r="C491" i="1"/>
  <c r="B491" i="1"/>
  <c r="A491" i="1"/>
  <c r="L490" i="1"/>
  <c r="K490" i="1"/>
  <c r="J490" i="1"/>
  <c r="I490" i="1"/>
  <c r="H490" i="1"/>
  <c r="F490" i="1"/>
  <c r="E490" i="1"/>
  <c r="D490" i="1"/>
  <c r="C490" i="1"/>
  <c r="B490" i="1"/>
  <c r="A490" i="1"/>
  <c r="L489" i="1"/>
  <c r="K489" i="1"/>
  <c r="J489" i="1"/>
  <c r="I489" i="1"/>
  <c r="H489" i="1"/>
  <c r="F489" i="1"/>
  <c r="E489" i="1"/>
  <c r="D489" i="1"/>
  <c r="C489" i="1"/>
  <c r="B489" i="1"/>
  <c r="A489" i="1"/>
  <c r="L488" i="1"/>
  <c r="K488" i="1"/>
  <c r="J488" i="1"/>
  <c r="I488" i="1"/>
  <c r="H488" i="1"/>
  <c r="F488" i="1"/>
  <c r="E488" i="1"/>
  <c r="D488" i="1"/>
  <c r="C488" i="1"/>
  <c r="B488" i="1"/>
  <c r="A488" i="1"/>
  <c r="L487" i="1"/>
  <c r="K487" i="1"/>
  <c r="J487" i="1"/>
  <c r="I487" i="1"/>
  <c r="H487" i="1"/>
  <c r="F487" i="1"/>
  <c r="E487" i="1"/>
  <c r="D487" i="1"/>
  <c r="C487" i="1"/>
  <c r="B487" i="1"/>
  <c r="A487" i="1"/>
  <c r="L486" i="1"/>
  <c r="K486" i="1"/>
  <c r="J486" i="1"/>
  <c r="I486" i="1"/>
  <c r="H486" i="1"/>
  <c r="F486" i="1"/>
  <c r="E486" i="1"/>
  <c r="D486" i="1"/>
  <c r="C486" i="1"/>
  <c r="B486" i="1"/>
  <c r="A486" i="1"/>
  <c r="L485" i="1"/>
  <c r="K485" i="1"/>
  <c r="J485" i="1"/>
  <c r="I485" i="1"/>
  <c r="H485" i="1"/>
  <c r="F485" i="1"/>
  <c r="E485" i="1"/>
  <c r="D485" i="1"/>
  <c r="C485" i="1"/>
  <c r="B485" i="1"/>
  <c r="A485" i="1"/>
  <c r="L484" i="1"/>
  <c r="K484" i="1"/>
  <c r="J484" i="1"/>
  <c r="I484" i="1"/>
  <c r="H484" i="1"/>
  <c r="F484" i="1"/>
  <c r="E484" i="1"/>
  <c r="D484" i="1"/>
  <c r="C484" i="1"/>
  <c r="B484" i="1"/>
  <c r="A484" i="1"/>
  <c r="L483" i="1"/>
  <c r="K483" i="1"/>
  <c r="J483" i="1"/>
  <c r="I483" i="1"/>
  <c r="H483" i="1"/>
  <c r="F483" i="1"/>
  <c r="E483" i="1"/>
  <c r="D483" i="1"/>
  <c r="C483" i="1"/>
  <c r="B483" i="1"/>
  <c r="A483" i="1"/>
  <c r="L482" i="1"/>
  <c r="K482" i="1"/>
  <c r="J482" i="1"/>
  <c r="I482" i="1"/>
  <c r="H482" i="1"/>
  <c r="F482" i="1"/>
  <c r="E482" i="1"/>
  <c r="D482" i="1"/>
  <c r="C482" i="1"/>
  <c r="B482" i="1"/>
  <c r="A482" i="1"/>
  <c r="L481" i="1"/>
  <c r="K481" i="1"/>
  <c r="J481" i="1"/>
  <c r="I481" i="1"/>
  <c r="H481" i="1"/>
  <c r="F481" i="1"/>
  <c r="E481" i="1"/>
  <c r="D481" i="1"/>
  <c r="C481" i="1"/>
  <c r="B481" i="1"/>
  <c r="A481" i="1"/>
  <c r="L480" i="1"/>
  <c r="K480" i="1"/>
  <c r="J480" i="1"/>
  <c r="I480" i="1"/>
  <c r="H480" i="1"/>
  <c r="F480" i="1"/>
  <c r="E480" i="1"/>
  <c r="D480" i="1"/>
  <c r="C480" i="1"/>
  <c r="B480" i="1"/>
  <c r="A480" i="1"/>
  <c r="L479" i="1"/>
  <c r="K479" i="1"/>
  <c r="J479" i="1"/>
  <c r="I479" i="1"/>
  <c r="H479" i="1"/>
  <c r="F479" i="1"/>
  <c r="E479" i="1"/>
  <c r="D479" i="1"/>
  <c r="C479" i="1"/>
  <c r="B479" i="1"/>
  <c r="A479" i="1"/>
  <c r="L478" i="1"/>
  <c r="K478" i="1"/>
  <c r="J478" i="1"/>
  <c r="I478" i="1"/>
  <c r="H478" i="1"/>
  <c r="F478" i="1"/>
  <c r="E478" i="1"/>
  <c r="D478" i="1"/>
  <c r="C478" i="1"/>
  <c r="B478" i="1"/>
  <c r="A478" i="1"/>
  <c r="L477" i="1"/>
  <c r="K477" i="1"/>
  <c r="J477" i="1"/>
  <c r="I477" i="1"/>
  <c r="H477" i="1"/>
  <c r="F477" i="1"/>
  <c r="E477" i="1"/>
  <c r="D477" i="1"/>
  <c r="C477" i="1"/>
  <c r="B477" i="1"/>
  <c r="A477" i="1"/>
  <c r="L476" i="1"/>
  <c r="K476" i="1"/>
  <c r="J476" i="1"/>
  <c r="I476" i="1"/>
  <c r="H476" i="1"/>
  <c r="F476" i="1"/>
  <c r="E476" i="1"/>
  <c r="D476" i="1"/>
  <c r="C476" i="1"/>
  <c r="B476" i="1"/>
  <c r="A476" i="1"/>
  <c r="L475" i="1"/>
  <c r="K475" i="1"/>
  <c r="J475" i="1"/>
  <c r="I475" i="1"/>
  <c r="H475" i="1"/>
  <c r="F475" i="1"/>
  <c r="E475" i="1"/>
  <c r="D475" i="1"/>
  <c r="C475" i="1"/>
  <c r="B475" i="1"/>
  <c r="A475" i="1"/>
  <c r="L474" i="1"/>
  <c r="K474" i="1"/>
  <c r="J474" i="1"/>
  <c r="I474" i="1"/>
  <c r="H474" i="1"/>
  <c r="F474" i="1"/>
  <c r="E474" i="1"/>
  <c r="D474" i="1"/>
  <c r="C474" i="1"/>
  <c r="B474" i="1"/>
  <c r="A474" i="1"/>
  <c r="L473" i="1"/>
  <c r="K473" i="1"/>
  <c r="J473" i="1"/>
  <c r="I473" i="1"/>
  <c r="H473" i="1"/>
  <c r="F473" i="1"/>
  <c r="E473" i="1"/>
  <c r="D473" i="1"/>
  <c r="C473" i="1"/>
  <c r="B473" i="1"/>
  <c r="A473" i="1"/>
  <c r="L472" i="1"/>
  <c r="K472" i="1"/>
  <c r="J472" i="1"/>
  <c r="I472" i="1"/>
  <c r="H472" i="1"/>
  <c r="F472" i="1"/>
  <c r="E472" i="1"/>
  <c r="D472" i="1"/>
  <c r="C472" i="1"/>
  <c r="B472" i="1"/>
  <c r="A472" i="1"/>
  <c r="L471" i="1"/>
  <c r="K471" i="1"/>
  <c r="J471" i="1"/>
  <c r="I471" i="1"/>
  <c r="H471" i="1"/>
  <c r="F471" i="1"/>
  <c r="E471" i="1"/>
  <c r="D471" i="1"/>
  <c r="C471" i="1"/>
  <c r="B471" i="1"/>
  <c r="A471" i="1"/>
  <c r="L470" i="1"/>
  <c r="K470" i="1"/>
  <c r="J470" i="1"/>
  <c r="I470" i="1"/>
  <c r="H470" i="1"/>
  <c r="F470" i="1"/>
  <c r="E470" i="1"/>
  <c r="D470" i="1"/>
  <c r="C470" i="1"/>
  <c r="B470" i="1"/>
  <c r="A470" i="1"/>
  <c r="L469" i="1"/>
  <c r="K469" i="1"/>
  <c r="J469" i="1"/>
  <c r="I469" i="1"/>
  <c r="H469" i="1"/>
  <c r="F469" i="1"/>
  <c r="E469" i="1"/>
  <c r="D469" i="1"/>
  <c r="C469" i="1"/>
  <c r="B469" i="1"/>
  <c r="A469" i="1"/>
  <c r="L468" i="1"/>
  <c r="K468" i="1"/>
  <c r="J468" i="1"/>
  <c r="I468" i="1"/>
  <c r="H468" i="1"/>
  <c r="F468" i="1"/>
  <c r="E468" i="1"/>
  <c r="D468" i="1"/>
  <c r="C468" i="1"/>
  <c r="B468" i="1"/>
  <c r="A468" i="1"/>
  <c r="L467" i="1"/>
  <c r="K467" i="1"/>
  <c r="J467" i="1"/>
  <c r="I467" i="1"/>
  <c r="H467" i="1"/>
  <c r="F467" i="1"/>
  <c r="E467" i="1"/>
  <c r="D467" i="1"/>
  <c r="C467" i="1"/>
  <c r="B467" i="1"/>
  <c r="A467" i="1"/>
  <c r="L466" i="1"/>
  <c r="K466" i="1"/>
  <c r="J466" i="1"/>
  <c r="I466" i="1"/>
  <c r="H466" i="1"/>
  <c r="F466" i="1"/>
  <c r="E466" i="1"/>
  <c r="D466" i="1"/>
  <c r="C466" i="1"/>
  <c r="B466" i="1"/>
  <c r="A466" i="1"/>
  <c r="L465" i="1"/>
  <c r="K465" i="1"/>
  <c r="J465" i="1"/>
  <c r="I465" i="1"/>
  <c r="H465" i="1"/>
  <c r="F465" i="1"/>
  <c r="E465" i="1"/>
  <c r="D465" i="1"/>
  <c r="C465" i="1"/>
  <c r="B465" i="1"/>
  <c r="A465" i="1"/>
  <c r="L464" i="1"/>
  <c r="K464" i="1"/>
  <c r="J464" i="1"/>
  <c r="I464" i="1"/>
  <c r="H464" i="1"/>
  <c r="F464" i="1"/>
  <c r="E464" i="1"/>
  <c r="D464" i="1"/>
  <c r="C464" i="1"/>
  <c r="B464" i="1"/>
  <c r="A464" i="1"/>
  <c r="L463" i="1"/>
  <c r="K463" i="1"/>
  <c r="J463" i="1"/>
  <c r="I463" i="1"/>
  <c r="H463" i="1"/>
  <c r="F463" i="1"/>
  <c r="E463" i="1"/>
  <c r="D463" i="1"/>
  <c r="C463" i="1"/>
  <c r="B463" i="1"/>
  <c r="A463" i="1"/>
  <c r="L462" i="1"/>
  <c r="K462" i="1"/>
  <c r="J462" i="1"/>
  <c r="I462" i="1"/>
  <c r="H462" i="1"/>
  <c r="F462" i="1"/>
  <c r="E462" i="1"/>
  <c r="D462" i="1"/>
  <c r="C462" i="1"/>
  <c r="B462" i="1"/>
  <c r="A462" i="1"/>
  <c r="L461" i="1"/>
  <c r="K461" i="1"/>
  <c r="J461" i="1"/>
  <c r="I461" i="1"/>
  <c r="H461" i="1"/>
  <c r="F461" i="1"/>
  <c r="E461" i="1"/>
  <c r="D461" i="1"/>
  <c r="C461" i="1"/>
  <c r="B461" i="1"/>
  <c r="A461" i="1"/>
  <c r="L460" i="1"/>
  <c r="K460" i="1"/>
  <c r="J460" i="1"/>
  <c r="I460" i="1"/>
  <c r="H460" i="1"/>
  <c r="F460" i="1"/>
  <c r="E460" i="1"/>
  <c r="D460" i="1"/>
  <c r="C460" i="1"/>
  <c r="B460" i="1"/>
  <c r="A460" i="1"/>
  <c r="L459" i="1"/>
  <c r="K459" i="1"/>
  <c r="J459" i="1"/>
  <c r="I459" i="1"/>
  <c r="H459" i="1"/>
  <c r="F459" i="1"/>
  <c r="E459" i="1"/>
  <c r="D459" i="1"/>
  <c r="C459" i="1"/>
  <c r="B459" i="1"/>
  <c r="A459" i="1"/>
  <c r="L458" i="1"/>
  <c r="K458" i="1"/>
  <c r="J458" i="1"/>
  <c r="I458" i="1"/>
  <c r="H458" i="1"/>
  <c r="F458" i="1"/>
  <c r="E458" i="1"/>
  <c r="D458" i="1"/>
  <c r="C458" i="1"/>
  <c r="B458" i="1"/>
  <c r="A458" i="1"/>
  <c r="L457" i="1"/>
  <c r="K457" i="1"/>
  <c r="J457" i="1"/>
  <c r="I457" i="1"/>
  <c r="H457" i="1"/>
  <c r="F457" i="1"/>
  <c r="E457" i="1"/>
  <c r="D457" i="1"/>
  <c r="C457" i="1"/>
  <c r="B457" i="1"/>
  <c r="A457" i="1"/>
  <c r="L456" i="1"/>
  <c r="K456" i="1"/>
  <c r="J456" i="1"/>
  <c r="I456" i="1"/>
  <c r="H456" i="1"/>
  <c r="F456" i="1"/>
  <c r="E456" i="1"/>
  <c r="D456" i="1"/>
  <c r="C456" i="1"/>
  <c r="B456" i="1"/>
  <c r="A456" i="1"/>
  <c r="L455" i="1"/>
  <c r="K455" i="1"/>
  <c r="J455" i="1"/>
  <c r="I455" i="1"/>
  <c r="H455" i="1"/>
  <c r="F455" i="1"/>
  <c r="E455" i="1"/>
  <c r="D455" i="1"/>
  <c r="C455" i="1"/>
  <c r="B455" i="1"/>
  <c r="A455" i="1"/>
  <c r="L454" i="1"/>
  <c r="K454" i="1"/>
  <c r="J454" i="1"/>
  <c r="I454" i="1"/>
  <c r="H454" i="1"/>
  <c r="F454" i="1"/>
  <c r="E454" i="1"/>
  <c r="D454" i="1"/>
  <c r="C454" i="1"/>
  <c r="B454" i="1"/>
  <c r="A454" i="1"/>
  <c r="L453" i="1"/>
  <c r="K453" i="1"/>
  <c r="J453" i="1"/>
  <c r="I453" i="1"/>
  <c r="H453" i="1"/>
  <c r="F453" i="1"/>
  <c r="E453" i="1"/>
  <c r="D453" i="1"/>
  <c r="C453" i="1"/>
  <c r="B453" i="1"/>
  <c r="A453" i="1"/>
  <c r="L452" i="1"/>
  <c r="K452" i="1"/>
  <c r="J452" i="1"/>
  <c r="I452" i="1"/>
  <c r="H452" i="1"/>
  <c r="F452" i="1"/>
  <c r="E452" i="1"/>
  <c r="D452" i="1"/>
  <c r="C452" i="1"/>
  <c r="B452" i="1"/>
  <c r="A452" i="1"/>
  <c r="L451" i="1"/>
  <c r="K451" i="1"/>
  <c r="J451" i="1"/>
  <c r="I451" i="1"/>
  <c r="H451" i="1"/>
  <c r="F451" i="1"/>
  <c r="E451" i="1"/>
  <c r="D451" i="1"/>
  <c r="C451" i="1"/>
  <c r="B451" i="1"/>
  <c r="A451" i="1"/>
  <c r="L450" i="1"/>
  <c r="K450" i="1"/>
  <c r="J450" i="1"/>
  <c r="I450" i="1"/>
  <c r="H450" i="1"/>
  <c r="F450" i="1"/>
  <c r="E450" i="1"/>
  <c r="D450" i="1"/>
  <c r="C450" i="1"/>
  <c r="B450" i="1"/>
  <c r="A450" i="1"/>
  <c r="L449" i="1"/>
  <c r="K449" i="1"/>
  <c r="J449" i="1"/>
  <c r="I449" i="1"/>
  <c r="H449" i="1"/>
  <c r="F449" i="1"/>
  <c r="E449" i="1"/>
  <c r="D449" i="1"/>
  <c r="C449" i="1"/>
  <c r="B449" i="1"/>
  <c r="A449" i="1"/>
  <c r="L448" i="1"/>
  <c r="K448" i="1"/>
  <c r="J448" i="1"/>
  <c r="I448" i="1"/>
  <c r="H448" i="1"/>
  <c r="F448" i="1"/>
  <c r="E448" i="1"/>
  <c r="D448" i="1"/>
  <c r="C448" i="1"/>
  <c r="B448" i="1"/>
  <c r="A448" i="1"/>
  <c r="L447" i="1"/>
  <c r="K447" i="1"/>
  <c r="J447" i="1"/>
  <c r="I447" i="1"/>
  <c r="H447" i="1"/>
  <c r="F447" i="1"/>
  <c r="E447" i="1"/>
  <c r="D447" i="1"/>
  <c r="C447" i="1"/>
  <c r="B447" i="1"/>
  <c r="A447" i="1"/>
  <c r="L446" i="1"/>
  <c r="K446" i="1"/>
  <c r="J446" i="1"/>
  <c r="I446" i="1"/>
  <c r="H446" i="1"/>
  <c r="F446" i="1"/>
  <c r="E446" i="1"/>
  <c r="D446" i="1"/>
  <c r="C446" i="1"/>
  <c r="B446" i="1"/>
  <c r="A446" i="1"/>
  <c r="L445" i="1"/>
  <c r="K445" i="1"/>
  <c r="J445" i="1"/>
  <c r="I445" i="1"/>
  <c r="H445" i="1"/>
  <c r="F445" i="1"/>
  <c r="E445" i="1"/>
  <c r="D445" i="1"/>
  <c r="C445" i="1"/>
  <c r="B445" i="1"/>
  <c r="A445" i="1"/>
  <c r="L444" i="1"/>
  <c r="K444" i="1"/>
  <c r="J444" i="1"/>
  <c r="I444" i="1"/>
  <c r="H444" i="1"/>
  <c r="F444" i="1"/>
  <c r="E444" i="1"/>
  <c r="D444" i="1"/>
  <c r="C444" i="1"/>
  <c r="B444" i="1"/>
  <c r="A444" i="1"/>
  <c r="L443" i="1"/>
  <c r="K443" i="1"/>
  <c r="J443" i="1"/>
  <c r="I443" i="1"/>
  <c r="H443" i="1"/>
  <c r="F443" i="1"/>
  <c r="E443" i="1"/>
  <c r="D443" i="1"/>
  <c r="C443" i="1"/>
  <c r="B443" i="1"/>
  <c r="A443" i="1"/>
  <c r="L442" i="1"/>
  <c r="K442" i="1"/>
  <c r="J442" i="1"/>
  <c r="I442" i="1"/>
  <c r="H442" i="1"/>
  <c r="F442" i="1"/>
  <c r="E442" i="1"/>
  <c r="D442" i="1"/>
  <c r="C442" i="1"/>
  <c r="B442" i="1"/>
  <c r="A442" i="1"/>
  <c r="L441" i="1"/>
  <c r="K441" i="1"/>
  <c r="J441" i="1"/>
  <c r="I441" i="1"/>
  <c r="H441" i="1"/>
  <c r="F441" i="1"/>
  <c r="E441" i="1"/>
  <c r="D441" i="1"/>
  <c r="C441" i="1"/>
  <c r="B441" i="1"/>
  <c r="A441" i="1"/>
  <c r="L440" i="1"/>
  <c r="K440" i="1"/>
  <c r="J440" i="1"/>
  <c r="I440" i="1"/>
  <c r="H440" i="1"/>
  <c r="F440" i="1"/>
  <c r="E440" i="1"/>
  <c r="D440" i="1"/>
  <c r="C440" i="1"/>
  <c r="B440" i="1"/>
  <c r="A440" i="1"/>
  <c r="L439" i="1"/>
  <c r="K439" i="1"/>
  <c r="J439" i="1"/>
  <c r="I439" i="1"/>
  <c r="H439" i="1"/>
  <c r="F439" i="1"/>
  <c r="E439" i="1"/>
  <c r="D439" i="1"/>
  <c r="C439" i="1"/>
  <c r="B439" i="1"/>
  <c r="A439" i="1"/>
  <c r="L438" i="1"/>
  <c r="K438" i="1"/>
  <c r="J438" i="1"/>
  <c r="I438" i="1"/>
  <c r="H438" i="1"/>
  <c r="F438" i="1"/>
  <c r="E438" i="1"/>
  <c r="D438" i="1"/>
  <c r="C438" i="1"/>
  <c r="B438" i="1"/>
  <c r="A438" i="1"/>
  <c r="L437" i="1"/>
  <c r="K437" i="1"/>
  <c r="J437" i="1"/>
  <c r="I437" i="1"/>
  <c r="H437" i="1"/>
  <c r="F437" i="1"/>
  <c r="E437" i="1"/>
  <c r="D437" i="1"/>
  <c r="C437" i="1"/>
  <c r="B437" i="1"/>
  <c r="A437" i="1"/>
  <c r="L436" i="1"/>
  <c r="K436" i="1"/>
  <c r="J436" i="1"/>
  <c r="I436" i="1"/>
  <c r="H436" i="1"/>
  <c r="F436" i="1"/>
  <c r="E436" i="1"/>
  <c r="D436" i="1"/>
  <c r="C436" i="1"/>
  <c r="B436" i="1"/>
  <c r="A436" i="1"/>
  <c r="L435" i="1"/>
  <c r="K435" i="1"/>
  <c r="J435" i="1"/>
  <c r="I435" i="1"/>
  <c r="H435" i="1"/>
  <c r="F435" i="1"/>
  <c r="E435" i="1"/>
  <c r="D435" i="1"/>
  <c r="C435" i="1"/>
  <c r="B435" i="1"/>
  <c r="A435" i="1"/>
  <c r="L434" i="1"/>
  <c r="K434" i="1"/>
  <c r="J434" i="1"/>
  <c r="I434" i="1"/>
  <c r="H434" i="1"/>
  <c r="F434" i="1"/>
  <c r="E434" i="1"/>
  <c r="D434" i="1"/>
  <c r="C434" i="1"/>
  <c r="B434" i="1"/>
  <c r="A434" i="1"/>
  <c r="L433" i="1"/>
  <c r="K433" i="1"/>
  <c r="J433" i="1"/>
  <c r="I433" i="1"/>
  <c r="H433" i="1"/>
  <c r="F433" i="1"/>
  <c r="E433" i="1"/>
  <c r="D433" i="1"/>
  <c r="C433" i="1"/>
  <c r="B433" i="1"/>
  <c r="A433" i="1"/>
  <c r="L432" i="1"/>
  <c r="K432" i="1"/>
  <c r="J432" i="1"/>
  <c r="I432" i="1"/>
  <c r="H432" i="1"/>
  <c r="F432" i="1"/>
  <c r="E432" i="1"/>
  <c r="D432" i="1"/>
  <c r="C432" i="1"/>
  <c r="B432" i="1"/>
  <c r="A432" i="1"/>
  <c r="L431" i="1"/>
  <c r="K431" i="1"/>
  <c r="J431" i="1"/>
  <c r="I431" i="1"/>
  <c r="H431" i="1"/>
  <c r="F431" i="1"/>
  <c r="E431" i="1"/>
  <c r="D431" i="1"/>
  <c r="C431" i="1"/>
  <c r="B431" i="1"/>
  <c r="A431" i="1"/>
  <c r="L430" i="1"/>
  <c r="K430" i="1"/>
  <c r="J430" i="1"/>
  <c r="I430" i="1"/>
  <c r="H430" i="1"/>
  <c r="F430" i="1"/>
  <c r="E430" i="1"/>
  <c r="D430" i="1"/>
  <c r="C430" i="1"/>
  <c r="B430" i="1"/>
  <c r="A430" i="1"/>
  <c r="L429" i="1"/>
  <c r="K429" i="1"/>
  <c r="J429" i="1"/>
  <c r="I429" i="1"/>
  <c r="H429" i="1"/>
  <c r="F429" i="1"/>
  <c r="E429" i="1"/>
  <c r="D429" i="1"/>
  <c r="C429" i="1"/>
  <c r="B429" i="1"/>
  <c r="A429" i="1"/>
  <c r="L428" i="1"/>
  <c r="K428" i="1"/>
  <c r="J428" i="1"/>
  <c r="I428" i="1"/>
  <c r="H428" i="1"/>
  <c r="F428" i="1"/>
  <c r="E428" i="1"/>
  <c r="D428" i="1"/>
  <c r="C428" i="1"/>
  <c r="B428" i="1"/>
  <c r="A428" i="1"/>
  <c r="L427" i="1"/>
  <c r="K427" i="1"/>
  <c r="J427" i="1"/>
  <c r="I427" i="1"/>
  <c r="H427" i="1"/>
  <c r="F427" i="1"/>
  <c r="E427" i="1"/>
  <c r="D427" i="1"/>
  <c r="C427" i="1"/>
  <c r="B427" i="1"/>
  <c r="A427" i="1"/>
  <c r="L426" i="1"/>
  <c r="K426" i="1"/>
  <c r="J426" i="1"/>
  <c r="I426" i="1"/>
  <c r="H426" i="1"/>
  <c r="F426" i="1"/>
  <c r="E426" i="1"/>
  <c r="D426" i="1"/>
  <c r="C426" i="1"/>
  <c r="B426" i="1"/>
  <c r="A426" i="1"/>
  <c r="L425" i="1"/>
  <c r="K425" i="1"/>
  <c r="J425" i="1"/>
  <c r="I425" i="1"/>
  <c r="H425" i="1"/>
  <c r="F425" i="1"/>
  <c r="E425" i="1"/>
  <c r="D425" i="1"/>
  <c r="C425" i="1"/>
  <c r="B425" i="1"/>
  <c r="A425" i="1"/>
  <c r="L424" i="1"/>
  <c r="K424" i="1"/>
  <c r="J424" i="1"/>
  <c r="I424" i="1"/>
  <c r="H424" i="1"/>
  <c r="F424" i="1"/>
  <c r="E424" i="1"/>
  <c r="D424" i="1"/>
  <c r="C424" i="1"/>
  <c r="B424" i="1"/>
  <c r="A424" i="1"/>
  <c r="L423" i="1"/>
  <c r="K423" i="1"/>
  <c r="J423" i="1"/>
  <c r="I423" i="1"/>
  <c r="H423" i="1"/>
  <c r="F423" i="1"/>
  <c r="E423" i="1"/>
  <c r="D423" i="1"/>
  <c r="C423" i="1"/>
  <c r="B423" i="1"/>
  <c r="A423" i="1"/>
  <c r="L422" i="1"/>
  <c r="K422" i="1"/>
  <c r="J422" i="1"/>
  <c r="I422" i="1"/>
  <c r="H422" i="1"/>
  <c r="F422" i="1"/>
  <c r="E422" i="1"/>
  <c r="D422" i="1"/>
  <c r="C422" i="1"/>
  <c r="B422" i="1"/>
  <c r="A422" i="1"/>
  <c r="L421" i="1"/>
  <c r="K421" i="1"/>
  <c r="J421" i="1"/>
  <c r="I421" i="1"/>
  <c r="H421" i="1"/>
  <c r="F421" i="1"/>
  <c r="E421" i="1"/>
  <c r="D421" i="1"/>
  <c r="C421" i="1"/>
  <c r="B421" i="1"/>
  <c r="A421" i="1"/>
  <c r="L420" i="1"/>
  <c r="K420" i="1"/>
  <c r="J420" i="1"/>
  <c r="I420" i="1"/>
  <c r="H420" i="1"/>
  <c r="F420" i="1"/>
  <c r="E420" i="1"/>
  <c r="D420" i="1"/>
  <c r="C420" i="1"/>
  <c r="B420" i="1"/>
  <c r="A420" i="1"/>
  <c r="L419" i="1"/>
  <c r="K419" i="1"/>
  <c r="J419" i="1"/>
  <c r="I419" i="1"/>
  <c r="H419" i="1"/>
  <c r="F419" i="1"/>
  <c r="E419" i="1"/>
  <c r="D419" i="1"/>
  <c r="C419" i="1"/>
  <c r="B419" i="1"/>
  <c r="A419" i="1"/>
  <c r="L418" i="1"/>
  <c r="K418" i="1"/>
  <c r="J418" i="1"/>
  <c r="I418" i="1"/>
  <c r="H418" i="1"/>
  <c r="F418" i="1"/>
  <c r="E418" i="1"/>
  <c r="D418" i="1"/>
  <c r="C418" i="1"/>
  <c r="B418" i="1"/>
  <c r="A418" i="1"/>
  <c r="L417" i="1"/>
  <c r="K417" i="1"/>
  <c r="J417" i="1"/>
  <c r="I417" i="1"/>
  <c r="H417" i="1"/>
  <c r="F417" i="1"/>
  <c r="E417" i="1"/>
  <c r="D417" i="1"/>
  <c r="C417" i="1"/>
  <c r="B417" i="1"/>
  <c r="A417" i="1"/>
  <c r="L416" i="1"/>
  <c r="K416" i="1"/>
  <c r="J416" i="1"/>
  <c r="I416" i="1"/>
  <c r="H416" i="1"/>
  <c r="F416" i="1"/>
  <c r="E416" i="1"/>
  <c r="D416" i="1"/>
  <c r="C416" i="1"/>
  <c r="B416" i="1"/>
  <c r="A416" i="1"/>
  <c r="L415" i="1"/>
  <c r="K415" i="1"/>
  <c r="J415" i="1"/>
  <c r="I415" i="1"/>
  <c r="H415" i="1"/>
  <c r="F415" i="1"/>
  <c r="E415" i="1"/>
  <c r="D415" i="1"/>
  <c r="C415" i="1"/>
  <c r="B415" i="1"/>
  <c r="A415" i="1"/>
  <c r="L414" i="1"/>
  <c r="K414" i="1"/>
  <c r="J414" i="1"/>
  <c r="I414" i="1"/>
  <c r="H414" i="1"/>
  <c r="F414" i="1"/>
  <c r="E414" i="1"/>
  <c r="D414" i="1"/>
  <c r="C414" i="1"/>
  <c r="B414" i="1"/>
  <c r="A414" i="1"/>
  <c r="L413" i="1"/>
  <c r="K413" i="1"/>
  <c r="J413" i="1"/>
  <c r="I413" i="1"/>
  <c r="H413" i="1"/>
  <c r="F413" i="1"/>
  <c r="E413" i="1"/>
  <c r="D413" i="1"/>
  <c r="C413" i="1"/>
  <c r="B413" i="1"/>
  <c r="A413" i="1"/>
  <c r="L412" i="1"/>
  <c r="K412" i="1"/>
  <c r="J412" i="1"/>
  <c r="I412" i="1"/>
  <c r="H412" i="1"/>
  <c r="F412" i="1"/>
  <c r="E412" i="1"/>
  <c r="D412" i="1"/>
  <c r="C412" i="1"/>
  <c r="B412" i="1"/>
  <c r="A412" i="1"/>
  <c r="L411" i="1"/>
  <c r="K411" i="1"/>
  <c r="J411" i="1"/>
  <c r="I411" i="1"/>
  <c r="H411" i="1"/>
  <c r="F411" i="1"/>
  <c r="E411" i="1"/>
  <c r="D411" i="1"/>
  <c r="C411" i="1"/>
  <c r="B411" i="1"/>
  <c r="A411" i="1"/>
  <c r="L410" i="1"/>
  <c r="K410" i="1"/>
  <c r="J410" i="1"/>
  <c r="I410" i="1"/>
  <c r="H410" i="1"/>
  <c r="F410" i="1"/>
  <c r="E410" i="1"/>
  <c r="D410" i="1"/>
  <c r="C410" i="1"/>
  <c r="B410" i="1"/>
  <c r="A410" i="1"/>
  <c r="L409" i="1"/>
  <c r="K409" i="1"/>
  <c r="J409" i="1"/>
  <c r="I409" i="1"/>
  <c r="H409" i="1"/>
  <c r="F409" i="1"/>
  <c r="E409" i="1"/>
  <c r="D409" i="1"/>
  <c r="C409" i="1"/>
  <c r="B409" i="1"/>
  <c r="A409" i="1"/>
  <c r="L408" i="1"/>
  <c r="K408" i="1"/>
  <c r="J408" i="1"/>
  <c r="I408" i="1"/>
  <c r="H408" i="1"/>
  <c r="F408" i="1"/>
  <c r="E408" i="1"/>
  <c r="D408" i="1"/>
  <c r="C408" i="1"/>
  <c r="B408" i="1"/>
  <c r="A408" i="1"/>
  <c r="L407" i="1"/>
  <c r="K407" i="1"/>
  <c r="J407" i="1"/>
  <c r="I407" i="1"/>
  <c r="H407" i="1"/>
  <c r="F407" i="1"/>
  <c r="E407" i="1"/>
  <c r="D407" i="1"/>
  <c r="C407" i="1"/>
  <c r="B407" i="1"/>
  <c r="A407" i="1"/>
  <c r="L406" i="1"/>
  <c r="K406" i="1"/>
  <c r="J406" i="1"/>
  <c r="I406" i="1"/>
  <c r="H406" i="1"/>
  <c r="F406" i="1"/>
  <c r="E406" i="1"/>
  <c r="D406" i="1"/>
  <c r="C406" i="1"/>
  <c r="B406" i="1"/>
  <c r="A406" i="1"/>
  <c r="L405" i="1"/>
  <c r="K405" i="1"/>
  <c r="J405" i="1"/>
  <c r="I405" i="1"/>
  <c r="H405" i="1"/>
  <c r="F405" i="1"/>
  <c r="E405" i="1"/>
  <c r="D405" i="1"/>
  <c r="C405" i="1"/>
  <c r="B405" i="1"/>
  <c r="A405" i="1"/>
  <c r="L404" i="1"/>
  <c r="K404" i="1"/>
  <c r="J404" i="1"/>
  <c r="I404" i="1"/>
  <c r="H404" i="1"/>
  <c r="F404" i="1"/>
  <c r="E404" i="1"/>
  <c r="D404" i="1"/>
  <c r="C404" i="1"/>
  <c r="B404" i="1"/>
  <c r="A404" i="1"/>
  <c r="L403" i="1"/>
  <c r="K403" i="1"/>
  <c r="J403" i="1"/>
  <c r="I403" i="1"/>
  <c r="H403" i="1"/>
  <c r="F403" i="1"/>
  <c r="E403" i="1"/>
  <c r="D403" i="1"/>
  <c r="C403" i="1"/>
  <c r="B403" i="1"/>
  <c r="A403" i="1"/>
  <c r="L402" i="1"/>
  <c r="K402" i="1"/>
  <c r="J402" i="1"/>
  <c r="I402" i="1"/>
  <c r="H402" i="1"/>
  <c r="F402" i="1"/>
  <c r="E402" i="1"/>
  <c r="D402" i="1"/>
  <c r="C402" i="1"/>
  <c r="B402" i="1"/>
  <c r="A402" i="1"/>
  <c r="L401" i="1"/>
  <c r="K401" i="1"/>
  <c r="J401" i="1"/>
  <c r="I401" i="1"/>
  <c r="H401" i="1"/>
  <c r="F401" i="1"/>
  <c r="E401" i="1"/>
  <c r="D401" i="1"/>
  <c r="C401" i="1"/>
  <c r="B401" i="1"/>
  <c r="A401" i="1"/>
  <c r="L400" i="1"/>
  <c r="K400" i="1"/>
  <c r="J400" i="1"/>
  <c r="I400" i="1"/>
  <c r="H400" i="1"/>
  <c r="F400" i="1"/>
  <c r="E400" i="1"/>
  <c r="D400" i="1"/>
  <c r="C400" i="1"/>
  <c r="B400" i="1"/>
  <c r="A400" i="1"/>
  <c r="L399" i="1"/>
  <c r="K399" i="1"/>
  <c r="J399" i="1"/>
  <c r="I399" i="1"/>
  <c r="H399" i="1"/>
  <c r="F399" i="1"/>
  <c r="E399" i="1"/>
  <c r="D399" i="1"/>
  <c r="C399" i="1"/>
  <c r="B399" i="1"/>
  <c r="A399" i="1"/>
  <c r="L398" i="1"/>
  <c r="K398" i="1"/>
  <c r="J398" i="1"/>
  <c r="I398" i="1"/>
  <c r="H398" i="1"/>
  <c r="F398" i="1"/>
  <c r="E398" i="1"/>
  <c r="D398" i="1"/>
  <c r="C398" i="1"/>
  <c r="B398" i="1"/>
  <c r="A398" i="1"/>
  <c r="L397" i="1"/>
  <c r="K397" i="1"/>
  <c r="J397" i="1"/>
  <c r="I397" i="1"/>
  <c r="H397" i="1"/>
  <c r="F397" i="1"/>
  <c r="E397" i="1"/>
  <c r="D397" i="1"/>
  <c r="C397" i="1"/>
  <c r="B397" i="1"/>
  <c r="A397" i="1"/>
  <c r="L396" i="1"/>
  <c r="K396" i="1"/>
  <c r="J396" i="1"/>
  <c r="I396" i="1"/>
  <c r="H396" i="1"/>
  <c r="F396" i="1"/>
  <c r="E396" i="1"/>
  <c r="D396" i="1"/>
  <c r="C396" i="1"/>
  <c r="B396" i="1"/>
  <c r="A396" i="1"/>
  <c r="L395" i="1"/>
  <c r="K395" i="1"/>
  <c r="J395" i="1"/>
  <c r="I395" i="1"/>
  <c r="H395" i="1"/>
  <c r="F395" i="1"/>
  <c r="E395" i="1"/>
  <c r="D395" i="1"/>
  <c r="C395" i="1"/>
  <c r="B395" i="1"/>
  <c r="A395" i="1"/>
  <c r="L394" i="1"/>
  <c r="K394" i="1"/>
  <c r="J394" i="1"/>
  <c r="I394" i="1"/>
  <c r="H394" i="1"/>
  <c r="F394" i="1"/>
  <c r="E394" i="1"/>
  <c r="D394" i="1"/>
  <c r="C394" i="1"/>
  <c r="B394" i="1"/>
  <c r="A394" i="1"/>
  <c r="L393" i="1"/>
  <c r="K393" i="1"/>
  <c r="J393" i="1"/>
  <c r="I393" i="1"/>
  <c r="H393" i="1"/>
  <c r="F393" i="1"/>
  <c r="E393" i="1"/>
  <c r="D393" i="1"/>
  <c r="C393" i="1"/>
  <c r="B393" i="1"/>
  <c r="A393" i="1"/>
  <c r="L392" i="1"/>
  <c r="K392" i="1"/>
  <c r="J392" i="1"/>
  <c r="I392" i="1"/>
  <c r="H392" i="1"/>
  <c r="F392" i="1"/>
  <c r="E392" i="1"/>
  <c r="D392" i="1"/>
  <c r="C392" i="1"/>
  <c r="B392" i="1"/>
  <c r="A392" i="1"/>
  <c r="L391" i="1"/>
  <c r="K391" i="1"/>
  <c r="J391" i="1"/>
  <c r="I391" i="1"/>
  <c r="H391" i="1"/>
  <c r="F391" i="1"/>
  <c r="E391" i="1"/>
  <c r="D391" i="1"/>
  <c r="C391" i="1"/>
  <c r="B391" i="1"/>
  <c r="A391" i="1"/>
  <c r="L390" i="1"/>
  <c r="K390" i="1"/>
  <c r="J390" i="1"/>
  <c r="I390" i="1"/>
  <c r="H390" i="1"/>
  <c r="F390" i="1"/>
  <c r="E390" i="1"/>
  <c r="D390" i="1"/>
  <c r="C390" i="1"/>
  <c r="B390" i="1"/>
  <c r="A390" i="1"/>
  <c r="L389" i="1"/>
  <c r="K389" i="1"/>
  <c r="J389" i="1"/>
  <c r="I389" i="1"/>
  <c r="H389" i="1"/>
  <c r="F389" i="1"/>
  <c r="E389" i="1"/>
  <c r="D389" i="1"/>
  <c r="C389" i="1"/>
  <c r="B389" i="1"/>
  <c r="A389" i="1"/>
  <c r="L388" i="1"/>
  <c r="K388" i="1"/>
  <c r="J388" i="1"/>
  <c r="I388" i="1"/>
  <c r="H388" i="1"/>
  <c r="F388" i="1"/>
  <c r="E388" i="1"/>
  <c r="D388" i="1"/>
  <c r="C388" i="1"/>
  <c r="B388" i="1"/>
  <c r="A388" i="1"/>
  <c r="L387" i="1"/>
  <c r="K387" i="1"/>
  <c r="J387" i="1"/>
  <c r="I387" i="1"/>
  <c r="H387" i="1"/>
  <c r="F387" i="1"/>
  <c r="E387" i="1"/>
  <c r="D387" i="1"/>
  <c r="C387" i="1"/>
  <c r="B387" i="1"/>
  <c r="A387" i="1"/>
  <c r="L386" i="1"/>
  <c r="K386" i="1"/>
  <c r="J386" i="1"/>
  <c r="I386" i="1"/>
  <c r="H386" i="1"/>
  <c r="F386" i="1"/>
  <c r="E386" i="1"/>
  <c r="D386" i="1"/>
  <c r="C386" i="1"/>
  <c r="B386" i="1"/>
  <c r="A386" i="1"/>
  <c r="L385" i="1"/>
  <c r="K385" i="1"/>
  <c r="J385" i="1"/>
  <c r="I385" i="1"/>
  <c r="H385" i="1"/>
  <c r="F385" i="1"/>
  <c r="E385" i="1"/>
  <c r="D385" i="1"/>
  <c r="C385" i="1"/>
  <c r="B385" i="1"/>
  <c r="A385" i="1"/>
  <c r="L384" i="1"/>
  <c r="K384" i="1"/>
  <c r="J384" i="1"/>
  <c r="I384" i="1"/>
  <c r="H384" i="1"/>
  <c r="F384" i="1"/>
  <c r="E384" i="1"/>
  <c r="D384" i="1"/>
  <c r="C384" i="1"/>
  <c r="B384" i="1"/>
  <c r="A384" i="1"/>
  <c r="L383" i="1"/>
  <c r="K383" i="1"/>
  <c r="J383" i="1"/>
  <c r="I383" i="1"/>
  <c r="H383" i="1"/>
  <c r="F383" i="1"/>
  <c r="E383" i="1"/>
  <c r="D383" i="1"/>
  <c r="C383" i="1"/>
  <c r="B383" i="1"/>
  <c r="A383" i="1"/>
  <c r="L382" i="1"/>
  <c r="K382" i="1"/>
  <c r="J382" i="1"/>
  <c r="I382" i="1"/>
  <c r="H382" i="1"/>
  <c r="F382" i="1"/>
  <c r="E382" i="1"/>
  <c r="D382" i="1"/>
  <c r="C382" i="1"/>
  <c r="B382" i="1"/>
  <c r="A382" i="1"/>
  <c r="L381" i="1"/>
  <c r="K381" i="1"/>
  <c r="J381" i="1"/>
  <c r="I381" i="1"/>
  <c r="H381" i="1"/>
  <c r="F381" i="1"/>
  <c r="E381" i="1"/>
  <c r="D381" i="1"/>
  <c r="C381" i="1"/>
  <c r="B381" i="1"/>
  <c r="A381" i="1"/>
  <c r="L380" i="1"/>
  <c r="K380" i="1"/>
  <c r="J380" i="1"/>
  <c r="I380" i="1"/>
  <c r="H380" i="1"/>
  <c r="F380" i="1"/>
  <c r="E380" i="1"/>
  <c r="D380" i="1"/>
  <c r="C380" i="1"/>
  <c r="B380" i="1"/>
  <c r="A380" i="1"/>
  <c r="L379" i="1"/>
  <c r="K379" i="1"/>
  <c r="J379" i="1"/>
  <c r="I379" i="1"/>
  <c r="H379" i="1"/>
  <c r="F379" i="1"/>
  <c r="E379" i="1"/>
  <c r="D379" i="1"/>
  <c r="C379" i="1"/>
  <c r="B379" i="1"/>
  <c r="A379" i="1"/>
  <c r="L378" i="1"/>
  <c r="K378" i="1"/>
  <c r="J378" i="1"/>
  <c r="I378" i="1"/>
  <c r="H378" i="1"/>
  <c r="F378" i="1"/>
  <c r="E378" i="1"/>
  <c r="D378" i="1"/>
  <c r="C378" i="1"/>
  <c r="B378" i="1"/>
  <c r="A378" i="1"/>
  <c r="L377" i="1"/>
  <c r="K377" i="1"/>
  <c r="J377" i="1"/>
  <c r="I377" i="1"/>
  <c r="H377" i="1"/>
  <c r="F377" i="1"/>
  <c r="E377" i="1"/>
  <c r="D377" i="1"/>
  <c r="C377" i="1"/>
  <c r="B377" i="1"/>
  <c r="A377" i="1"/>
  <c r="L376" i="1"/>
  <c r="K376" i="1"/>
  <c r="J376" i="1"/>
  <c r="I376" i="1"/>
  <c r="H376" i="1"/>
  <c r="F376" i="1"/>
  <c r="E376" i="1"/>
  <c r="D376" i="1"/>
  <c r="C376" i="1"/>
  <c r="B376" i="1"/>
  <c r="A376" i="1"/>
  <c r="L375" i="1"/>
  <c r="K375" i="1"/>
  <c r="J375" i="1"/>
  <c r="I375" i="1"/>
  <c r="H375" i="1"/>
  <c r="F375" i="1"/>
  <c r="E375" i="1"/>
  <c r="D375" i="1"/>
  <c r="C375" i="1"/>
  <c r="B375" i="1"/>
  <c r="A375" i="1"/>
  <c r="L374" i="1"/>
  <c r="K374" i="1"/>
  <c r="J374" i="1"/>
  <c r="I374" i="1"/>
  <c r="H374" i="1"/>
  <c r="F374" i="1"/>
  <c r="E374" i="1"/>
  <c r="D374" i="1"/>
  <c r="C374" i="1"/>
  <c r="B374" i="1"/>
  <c r="A374" i="1"/>
  <c r="L373" i="1"/>
  <c r="K373" i="1"/>
  <c r="J373" i="1"/>
  <c r="I373" i="1"/>
  <c r="H373" i="1"/>
  <c r="F373" i="1"/>
  <c r="E373" i="1"/>
  <c r="D373" i="1"/>
  <c r="C373" i="1"/>
  <c r="B373" i="1"/>
  <c r="A373" i="1"/>
  <c r="L372" i="1"/>
  <c r="K372" i="1"/>
  <c r="J372" i="1"/>
  <c r="I372" i="1"/>
  <c r="H372" i="1"/>
  <c r="F372" i="1"/>
  <c r="E372" i="1"/>
  <c r="D372" i="1"/>
  <c r="C372" i="1"/>
  <c r="B372" i="1"/>
  <c r="A372" i="1"/>
  <c r="L371" i="1"/>
  <c r="K371" i="1"/>
  <c r="J371" i="1"/>
  <c r="I371" i="1"/>
  <c r="H371" i="1"/>
  <c r="F371" i="1"/>
  <c r="E371" i="1"/>
  <c r="D371" i="1"/>
  <c r="C371" i="1"/>
  <c r="B371" i="1"/>
  <c r="A371" i="1"/>
  <c r="L370" i="1"/>
  <c r="K370" i="1"/>
  <c r="J370" i="1"/>
  <c r="I370" i="1"/>
  <c r="H370" i="1"/>
  <c r="F370" i="1"/>
  <c r="E370" i="1"/>
  <c r="D370" i="1"/>
  <c r="C370" i="1"/>
  <c r="B370" i="1"/>
  <c r="A370" i="1"/>
  <c r="L369" i="1"/>
  <c r="K369" i="1"/>
  <c r="J369" i="1"/>
  <c r="I369" i="1"/>
  <c r="H369" i="1"/>
  <c r="F369" i="1"/>
  <c r="E369" i="1"/>
  <c r="D369" i="1"/>
  <c r="C369" i="1"/>
  <c r="B369" i="1"/>
  <c r="A369" i="1"/>
  <c r="L368" i="1"/>
  <c r="K368" i="1"/>
  <c r="J368" i="1"/>
  <c r="I368" i="1"/>
  <c r="H368" i="1"/>
  <c r="F368" i="1"/>
  <c r="E368" i="1"/>
  <c r="D368" i="1"/>
  <c r="C368" i="1"/>
  <c r="B368" i="1"/>
  <c r="A368" i="1"/>
  <c r="L367" i="1"/>
  <c r="K367" i="1"/>
  <c r="J367" i="1"/>
  <c r="I367" i="1"/>
  <c r="H367" i="1"/>
  <c r="F367" i="1"/>
  <c r="E367" i="1"/>
  <c r="D367" i="1"/>
  <c r="C367" i="1"/>
  <c r="B367" i="1"/>
  <c r="A367" i="1"/>
  <c r="L366" i="1"/>
  <c r="K366" i="1"/>
  <c r="J366" i="1"/>
  <c r="I366" i="1"/>
  <c r="H366" i="1"/>
  <c r="F366" i="1"/>
  <c r="E366" i="1"/>
  <c r="D366" i="1"/>
  <c r="C366" i="1"/>
  <c r="B366" i="1"/>
  <c r="A366" i="1"/>
  <c r="L365" i="1"/>
  <c r="K365" i="1"/>
  <c r="J365" i="1"/>
  <c r="I365" i="1"/>
  <c r="H365" i="1"/>
  <c r="F365" i="1"/>
  <c r="E365" i="1"/>
  <c r="D365" i="1"/>
  <c r="C365" i="1"/>
  <c r="B365" i="1"/>
  <c r="A365" i="1"/>
  <c r="L364" i="1"/>
  <c r="K364" i="1"/>
  <c r="J364" i="1"/>
  <c r="I364" i="1"/>
  <c r="H364" i="1"/>
  <c r="F364" i="1"/>
  <c r="E364" i="1"/>
  <c r="D364" i="1"/>
  <c r="C364" i="1"/>
  <c r="B364" i="1"/>
  <c r="A364" i="1"/>
  <c r="L363" i="1"/>
  <c r="K363" i="1"/>
  <c r="J363" i="1"/>
  <c r="I363" i="1"/>
  <c r="H363" i="1"/>
  <c r="F363" i="1"/>
  <c r="E363" i="1"/>
  <c r="D363" i="1"/>
  <c r="C363" i="1"/>
  <c r="B363" i="1"/>
  <c r="A363" i="1"/>
  <c r="L362" i="1"/>
  <c r="K362" i="1"/>
  <c r="J362" i="1"/>
  <c r="I362" i="1"/>
  <c r="H362" i="1"/>
  <c r="F362" i="1"/>
  <c r="E362" i="1"/>
  <c r="D362" i="1"/>
  <c r="C362" i="1"/>
  <c r="B362" i="1"/>
  <c r="A362" i="1"/>
  <c r="L361" i="1"/>
  <c r="K361" i="1"/>
  <c r="J361" i="1"/>
  <c r="I361" i="1"/>
  <c r="H361" i="1"/>
  <c r="F361" i="1"/>
  <c r="E361" i="1"/>
  <c r="D361" i="1"/>
  <c r="C361" i="1"/>
  <c r="B361" i="1"/>
  <c r="A361" i="1"/>
  <c r="L360" i="1"/>
  <c r="K360" i="1"/>
  <c r="J360" i="1"/>
  <c r="I360" i="1"/>
  <c r="H360" i="1"/>
  <c r="F360" i="1"/>
  <c r="E360" i="1"/>
  <c r="D360" i="1"/>
  <c r="C360" i="1"/>
  <c r="B360" i="1"/>
  <c r="A360" i="1"/>
  <c r="L359" i="1"/>
  <c r="K359" i="1"/>
  <c r="J359" i="1"/>
  <c r="I359" i="1"/>
  <c r="H359" i="1"/>
  <c r="F359" i="1"/>
  <c r="E359" i="1"/>
  <c r="D359" i="1"/>
  <c r="C359" i="1"/>
  <c r="B359" i="1"/>
  <c r="A359" i="1"/>
  <c r="L358" i="1"/>
  <c r="K358" i="1"/>
  <c r="J358" i="1"/>
  <c r="I358" i="1"/>
  <c r="H358" i="1"/>
  <c r="F358" i="1"/>
  <c r="E358" i="1"/>
  <c r="D358" i="1"/>
  <c r="C358" i="1"/>
  <c r="B358" i="1"/>
  <c r="A358" i="1"/>
  <c r="L357" i="1"/>
  <c r="K357" i="1"/>
  <c r="J357" i="1"/>
  <c r="I357" i="1"/>
  <c r="H357" i="1"/>
  <c r="F357" i="1"/>
  <c r="E357" i="1"/>
  <c r="D357" i="1"/>
  <c r="C357" i="1"/>
  <c r="B357" i="1"/>
  <c r="A357" i="1"/>
  <c r="L356" i="1"/>
  <c r="K356" i="1"/>
  <c r="J356" i="1"/>
  <c r="I356" i="1"/>
  <c r="H356" i="1"/>
  <c r="F356" i="1"/>
  <c r="E356" i="1"/>
  <c r="D356" i="1"/>
  <c r="C356" i="1"/>
  <c r="B356" i="1"/>
  <c r="A356" i="1"/>
  <c r="L355" i="1"/>
  <c r="K355" i="1"/>
  <c r="J355" i="1"/>
  <c r="I355" i="1"/>
  <c r="H355" i="1"/>
  <c r="F355" i="1"/>
  <c r="E355" i="1"/>
  <c r="D355" i="1"/>
  <c r="C355" i="1"/>
  <c r="B355" i="1"/>
  <c r="A355" i="1"/>
  <c r="L354" i="1"/>
  <c r="K354" i="1"/>
  <c r="J354" i="1"/>
  <c r="I354" i="1"/>
  <c r="H354" i="1"/>
  <c r="F354" i="1"/>
  <c r="E354" i="1"/>
  <c r="D354" i="1"/>
  <c r="C354" i="1"/>
  <c r="B354" i="1"/>
  <c r="A354" i="1"/>
  <c r="L353" i="1"/>
  <c r="K353" i="1"/>
  <c r="J353" i="1"/>
  <c r="I353" i="1"/>
  <c r="H353" i="1"/>
  <c r="F353" i="1"/>
  <c r="E353" i="1"/>
  <c r="D353" i="1"/>
  <c r="C353" i="1"/>
  <c r="B353" i="1"/>
  <c r="A353" i="1"/>
  <c r="L352" i="1"/>
  <c r="K352" i="1"/>
  <c r="J352" i="1"/>
  <c r="I352" i="1"/>
  <c r="H352" i="1"/>
  <c r="F352" i="1"/>
  <c r="E352" i="1"/>
  <c r="D352" i="1"/>
  <c r="C352" i="1"/>
  <c r="B352" i="1"/>
  <c r="A352" i="1"/>
  <c r="L351" i="1"/>
  <c r="K351" i="1"/>
  <c r="J351" i="1"/>
  <c r="I351" i="1"/>
  <c r="H351" i="1"/>
  <c r="F351" i="1"/>
  <c r="E351" i="1"/>
  <c r="D351" i="1"/>
  <c r="C351" i="1"/>
  <c r="B351" i="1"/>
  <c r="A351" i="1"/>
  <c r="L350" i="1"/>
  <c r="K350" i="1"/>
  <c r="J350" i="1"/>
  <c r="I350" i="1"/>
  <c r="H350" i="1"/>
  <c r="F350" i="1"/>
  <c r="E350" i="1"/>
  <c r="D350" i="1"/>
  <c r="C350" i="1"/>
  <c r="B350" i="1"/>
  <c r="A350" i="1"/>
  <c r="L349" i="1"/>
  <c r="K349" i="1"/>
  <c r="J349" i="1"/>
  <c r="I349" i="1"/>
  <c r="H349" i="1"/>
  <c r="F349" i="1"/>
  <c r="E349" i="1"/>
  <c r="D349" i="1"/>
  <c r="C349" i="1"/>
  <c r="B349" i="1"/>
  <c r="A349" i="1"/>
  <c r="L348" i="1"/>
  <c r="K348" i="1"/>
  <c r="J348" i="1"/>
  <c r="I348" i="1"/>
  <c r="H348" i="1"/>
  <c r="F348" i="1"/>
  <c r="E348" i="1"/>
  <c r="D348" i="1"/>
  <c r="C348" i="1"/>
  <c r="B348" i="1"/>
  <c r="A348" i="1"/>
  <c r="L347" i="1"/>
  <c r="K347" i="1"/>
  <c r="J347" i="1"/>
  <c r="I347" i="1"/>
  <c r="H347" i="1"/>
  <c r="F347" i="1"/>
  <c r="E347" i="1"/>
  <c r="D347" i="1"/>
  <c r="C347" i="1"/>
  <c r="B347" i="1"/>
  <c r="A347" i="1"/>
  <c r="L346" i="1"/>
  <c r="K346" i="1"/>
  <c r="J346" i="1"/>
  <c r="I346" i="1"/>
  <c r="H346" i="1"/>
  <c r="F346" i="1"/>
  <c r="E346" i="1"/>
  <c r="D346" i="1"/>
  <c r="C346" i="1"/>
  <c r="B346" i="1"/>
  <c r="A346" i="1"/>
  <c r="L345" i="1"/>
  <c r="K345" i="1"/>
  <c r="J345" i="1"/>
  <c r="I345" i="1"/>
  <c r="H345" i="1"/>
  <c r="F345" i="1"/>
  <c r="E345" i="1"/>
  <c r="D345" i="1"/>
  <c r="C345" i="1"/>
  <c r="B345" i="1"/>
  <c r="A345" i="1"/>
  <c r="L344" i="1"/>
  <c r="K344" i="1"/>
  <c r="J344" i="1"/>
  <c r="I344" i="1"/>
  <c r="H344" i="1"/>
  <c r="F344" i="1"/>
  <c r="E344" i="1"/>
  <c r="D344" i="1"/>
  <c r="C344" i="1"/>
  <c r="B344" i="1"/>
  <c r="A344" i="1"/>
  <c r="L343" i="1"/>
  <c r="K343" i="1"/>
  <c r="J343" i="1"/>
  <c r="I343" i="1"/>
  <c r="H343" i="1"/>
  <c r="F343" i="1"/>
  <c r="E343" i="1"/>
  <c r="D343" i="1"/>
  <c r="C343" i="1"/>
  <c r="B343" i="1"/>
  <c r="A343" i="1"/>
  <c r="L342" i="1"/>
  <c r="K342" i="1"/>
  <c r="J342" i="1"/>
  <c r="I342" i="1"/>
  <c r="H342" i="1"/>
  <c r="F342" i="1"/>
  <c r="E342" i="1"/>
  <c r="D342" i="1"/>
  <c r="C342" i="1"/>
  <c r="B342" i="1"/>
  <c r="A342" i="1"/>
  <c r="L341" i="1"/>
  <c r="K341" i="1"/>
  <c r="J341" i="1"/>
  <c r="I341" i="1"/>
  <c r="H341" i="1"/>
  <c r="F341" i="1"/>
  <c r="E341" i="1"/>
  <c r="D341" i="1"/>
  <c r="C341" i="1"/>
  <c r="B341" i="1"/>
  <c r="A341" i="1"/>
  <c r="L340" i="1"/>
  <c r="K340" i="1"/>
  <c r="J340" i="1"/>
  <c r="I340" i="1"/>
  <c r="H340" i="1"/>
  <c r="F340" i="1"/>
  <c r="E340" i="1"/>
  <c r="D340" i="1"/>
  <c r="C340" i="1"/>
  <c r="B340" i="1"/>
  <c r="A340" i="1"/>
  <c r="L339" i="1"/>
  <c r="K339" i="1"/>
  <c r="J339" i="1"/>
  <c r="I339" i="1"/>
  <c r="H339" i="1"/>
  <c r="F339" i="1"/>
  <c r="E339" i="1"/>
  <c r="D339" i="1"/>
  <c r="C339" i="1"/>
  <c r="B339" i="1"/>
  <c r="A339" i="1"/>
  <c r="L338" i="1"/>
  <c r="K338" i="1"/>
  <c r="J338" i="1"/>
  <c r="I338" i="1"/>
  <c r="H338" i="1"/>
  <c r="F338" i="1"/>
  <c r="E338" i="1"/>
  <c r="D338" i="1"/>
  <c r="C338" i="1"/>
  <c r="B338" i="1"/>
  <c r="A338" i="1"/>
  <c r="L337" i="1"/>
  <c r="K337" i="1"/>
  <c r="J337" i="1"/>
  <c r="I337" i="1"/>
  <c r="H337" i="1"/>
  <c r="F337" i="1"/>
  <c r="E337" i="1"/>
  <c r="D337" i="1"/>
  <c r="C337" i="1"/>
  <c r="B337" i="1"/>
  <c r="A337" i="1"/>
  <c r="L336" i="1"/>
  <c r="K336" i="1"/>
  <c r="J336" i="1"/>
  <c r="I336" i="1"/>
  <c r="H336" i="1"/>
  <c r="F336" i="1"/>
  <c r="E336" i="1"/>
  <c r="D336" i="1"/>
  <c r="C336" i="1"/>
  <c r="B336" i="1"/>
  <c r="A336" i="1"/>
  <c r="L335" i="1"/>
  <c r="K335" i="1"/>
  <c r="J335" i="1"/>
  <c r="I335" i="1"/>
  <c r="H335" i="1"/>
  <c r="F335" i="1"/>
  <c r="E335" i="1"/>
  <c r="D335" i="1"/>
  <c r="C335" i="1"/>
  <c r="B335" i="1"/>
  <c r="A335" i="1"/>
  <c r="L334" i="1"/>
  <c r="K334" i="1"/>
  <c r="J334" i="1"/>
  <c r="I334" i="1"/>
  <c r="H334" i="1"/>
  <c r="F334" i="1"/>
  <c r="E334" i="1"/>
  <c r="D334" i="1"/>
  <c r="C334" i="1"/>
  <c r="B334" i="1"/>
  <c r="A334" i="1"/>
  <c r="L333" i="1"/>
  <c r="K333" i="1"/>
  <c r="J333" i="1"/>
  <c r="I333" i="1"/>
  <c r="H333" i="1"/>
  <c r="F333" i="1"/>
  <c r="E333" i="1"/>
  <c r="D333" i="1"/>
  <c r="C333" i="1"/>
  <c r="B333" i="1"/>
  <c r="A333" i="1"/>
  <c r="L332" i="1"/>
  <c r="K332" i="1"/>
  <c r="J332" i="1"/>
  <c r="I332" i="1"/>
  <c r="H332" i="1"/>
  <c r="F332" i="1"/>
  <c r="E332" i="1"/>
  <c r="D332" i="1"/>
  <c r="C332" i="1"/>
  <c r="B332" i="1"/>
  <c r="A332" i="1"/>
  <c r="L331" i="1"/>
  <c r="K331" i="1"/>
  <c r="J331" i="1"/>
  <c r="I331" i="1"/>
  <c r="H331" i="1"/>
  <c r="F331" i="1"/>
  <c r="E331" i="1"/>
  <c r="D331" i="1"/>
  <c r="C331" i="1"/>
  <c r="B331" i="1"/>
  <c r="A331" i="1"/>
  <c r="L330" i="1"/>
  <c r="K330" i="1"/>
  <c r="J330" i="1"/>
  <c r="I330" i="1"/>
  <c r="H330" i="1"/>
  <c r="F330" i="1"/>
  <c r="E330" i="1"/>
  <c r="D330" i="1"/>
  <c r="C330" i="1"/>
  <c r="B330" i="1"/>
  <c r="A330" i="1"/>
  <c r="L329" i="1"/>
  <c r="K329" i="1"/>
  <c r="J329" i="1"/>
  <c r="I329" i="1"/>
  <c r="H329" i="1"/>
  <c r="F329" i="1"/>
  <c r="E329" i="1"/>
  <c r="D329" i="1"/>
  <c r="C329" i="1"/>
  <c r="B329" i="1"/>
  <c r="A329" i="1"/>
  <c r="L328" i="1"/>
  <c r="K328" i="1"/>
  <c r="J328" i="1"/>
  <c r="I328" i="1"/>
  <c r="H328" i="1"/>
  <c r="F328" i="1"/>
  <c r="E328" i="1"/>
  <c r="D328" i="1"/>
  <c r="C328" i="1"/>
  <c r="B328" i="1"/>
  <c r="A328" i="1"/>
  <c r="L327" i="1"/>
  <c r="K327" i="1"/>
  <c r="J327" i="1"/>
  <c r="I327" i="1"/>
  <c r="H327" i="1"/>
  <c r="F327" i="1"/>
  <c r="E327" i="1"/>
  <c r="D327" i="1"/>
  <c r="C327" i="1"/>
  <c r="B327" i="1"/>
  <c r="A327" i="1"/>
  <c r="L326" i="1"/>
  <c r="K326" i="1"/>
  <c r="J326" i="1"/>
  <c r="I326" i="1"/>
  <c r="H326" i="1"/>
  <c r="F326" i="1"/>
  <c r="E326" i="1"/>
  <c r="D326" i="1"/>
  <c r="C326" i="1"/>
  <c r="B326" i="1"/>
  <c r="A326" i="1"/>
  <c r="L325" i="1"/>
  <c r="K325" i="1"/>
  <c r="J325" i="1"/>
  <c r="I325" i="1"/>
  <c r="H325" i="1"/>
  <c r="F325" i="1"/>
  <c r="E325" i="1"/>
  <c r="D325" i="1"/>
  <c r="C325" i="1"/>
  <c r="B325" i="1"/>
  <c r="A325" i="1"/>
  <c r="L324" i="1"/>
  <c r="K324" i="1"/>
  <c r="J324" i="1"/>
  <c r="I324" i="1"/>
  <c r="H324" i="1"/>
  <c r="F324" i="1"/>
  <c r="E324" i="1"/>
  <c r="D324" i="1"/>
  <c r="C324" i="1"/>
  <c r="B324" i="1"/>
  <c r="A324" i="1"/>
  <c r="L323" i="1"/>
  <c r="K323" i="1"/>
  <c r="J323" i="1"/>
  <c r="I323" i="1"/>
  <c r="H323" i="1"/>
  <c r="F323" i="1"/>
  <c r="E323" i="1"/>
  <c r="D323" i="1"/>
  <c r="C323" i="1"/>
  <c r="B323" i="1"/>
  <c r="A323" i="1"/>
  <c r="L322" i="1"/>
  <c r="K322" i="1"/>
  <c r="J322" i="1"/>
  <c r="I322" i="1"/>
  <c r="H322" i="1"/>
  <c r="F322" i="1"/>
  <c r="E322" i="1"/>
  <c r="D322" i="1"/>
  <c r="C322" i="1"/>
  <c r="B322" i="1"/>
  <c r="A322" i="1"/>
  <c r="L321" i="1"/>
  <c r="K321" i="1"/>
  <c r="J321" i="1"/>
  <c r="I321" i="1"/>
  <c r="H321" i="1"/>
  <c r="F321" i="1"/>
  <c r="E321" i="1"/>
  <c r="D321" i="1"/>
  <c r="C321" i="1"/>
  <c r="B321" i="1"/>
  <c r="A321" i="1"/>
  <c r="L320" i="1"/>
  <c r="K320" i="1"/>
  <c r="J320" i="1"/>
  <c r="I320" i="1"/>
  <c r="H320" i="1"/>
  <c r="F320" i="1"/>
  <c r="E320" i="1"/>
  <c r="D320" i="1"/>
  <c r="C320" i="1"/>
  <c r="B320" i="1"/>
  <c r="A320" i="1"/>
  <c r="L319" i="1"/>
  <c r="K319" i="1"/>
  <c r="J319" i="1"/>
  <c r="I319" i="1"/>
  <c r="H319" i="1"/>
  <c r="F319" i="1"/>
  <c r="E319" i="1"/>
  <c r="D319" i="1"/>
  <c r="C319" i="1"/>
  <c r="B319" i="1"/>
  <c r="A319" i="1"/>
  <c r="L318" i="1"/>
  <c r="K318" i="1"/>
  <c r="J318" i="1"/>
  <c r="I318" i="1"/>
  <c r="H318" i="1"/>
  <c r="F318" i="1"/>
  <c r="E318" i="1"/>
  <c r="D318" i="1"/>
  <c r="C318" i="1"/>
  <c r="B318" i="1"/>
  <c r="A318" i="1"/>
  <c r="L317" i="1"/>
  <c r="K317" i="1"/>
  <c r="J317" i="1"/>
  <c r="I317" i="1"/>
  <c r="H317" i="1"/>
  <c r="F317" i="1"/>
  <c r="E317" i="1"/>
  <c r="D317" i="1"/>
  <c r="C317" i="1"/>
  <c r="B317" i="1"/>
  <c r="A317" i="1"/>
  <c r="L316" i="1"/>
  <c r="K316" i="1"/>
  <c r="J316" i="1"/>
  <c r="I316" i="1"/>
  <c r="H316" i="1"/>
  <c r="F316" i="1"/>
  <c r="E316" i="1"/>
  <c r="D316" i="1"/>
  <c r="C316" i="1"/>
  <c r="B316" i="1"/>
  <c r="A316" i="1"/>
  <c r="L315" i="1"/>
  <c r="K315" i="1"/>
  <c r="J315" i="1"/>
  <c r="I315" i="1"/>
  <c r="H315" i="1"/>
  <c r="F315" i="1"/>
  <c r="E315" i="1"/>
  <c r="D315" i="1"/>
  <c r="C315" i="1"/>
  <c r="B315" i="1"/>
  <c r="A315" i="1"/>
  <c r="L314" i="1"/>
  <c r="K314" i="1"/>
  <c r="J314" i="1"/>
  <c r="I314" i="1"/>
  <c r="H314" i="1"/>
  <c r="F314" i="1"/>
  <c r="E314" i="1"/>
  <c r="D314" i="1"/>
  <c r="C314" i="1"/>
  <c r="B314" i="1"/>
  <c r="A314" i="1"/>
  <c r="L313" i="1"/>
  <c r="K313" i="1"/>
  <c r="J313" i="1"/>
  <c r="I313" i="1"/>
  <c r="H313" i="1"/>
  <c r="F313" i="1"/>
  <c r="E313" i="1"/>
  <c r="D313" i="1"/>
  <c r="C313" i="1"/>
  <c r="B313" i="1"/>
  <c r="A313" i="1"/>
  <c r="L312" i="1"/>
  <c r="K312" i="1"/>
  <c r="J312" i="1"/>
  <c r="I312" i="1"/>
  <c r="H312" i="1"/>
  <c r="F312" i="1"/>
  <c r="E312" i="1"/>
  <c r="D312" i="1"/>
  <c r="C312" i="1"/>
  <c r="B312" i="1"/>
  <c r="A312" i="1"/>
  <c r="L311" i="1"/>
  <c r="K311" i="1"/>
  <c r="J311" i="1"/>
  <c r="I311" i="1"/>
  <c r="H311" i="1"/>
  <c r="F311" i="1"/>
  <c r="E311" i="1"/>
  <c r="D311" i="1"/>
  <c r="C311" i="1"/>
  <c r="B311" i="1"/>
  <c r="A311" i="1"/>
  <c r="L310" i="1"/>
  <c r="K310" i="1"/>
  <c r="J310" i="1"/>
  <c r="I310" i="1"/>
  <c r="H310" i="1"/>
  <c r="F310" i="1"/>
  <c r="E310" i="1"/>
  <c r="D310" i="1"/>
  <c r="C310" i="1"/>
  <c r="B310" i="1"/>
  <c r="A310" i="1"/>
  <c r="L309" i="1"/>
  <c r="K309" i="1"/>
  <c r="J309" i="1"/>
  <c r="I309" i="1"/>
  <c r="H309" i="1"/>
  <c r="F309" i="1"/>
  <c r="E309" i="1"/>
  <c r="D309" i="1"/>
  <c r="C309" i="1"/>
  <c r="B309" i="1"/>
  <c r="A309" i="1"/>
  <c r="L308" i="1"/>
  <c r="K308" i="1"/>
  <c r="J308" i="1"/>
  <c r="I308" i="1"/>
  <c r="H308" i="1"/>
  <c r="F308" i="1"/>
  <c r="E308" i="1"/>
  <c r="D308" i="1"/>
  <c r="C308" i="1"/>
  <c r="B308" i="1"/>
  <c r="A308" i="1"/>
  <c r="L307" i="1"/>
  <c r="K307" i="1"/>
  <c r="J307" i="1"/>
  <c r="I307" i="1"/>
  <c r="H307" i="1"/>
  <c r="F307" i="1"/>
  <c r="E307" i="1"/>
  <c r="D307" i="1"/>
  <c r="C307" i="1"/>
  <c r="B307" i="1"/>
  <c r="A307" i="1"/>
  <c r="L306" i="1"/>
  <c r="K306" i="1"/>
  <c r="J306" i="1"/>
  <c r="I306" i="1"/>
  <c r="H306" i="1"/>
  <c r="F306" i="1"/>
  <c r="E306" i="1"/>
  <c r="D306" i="1"/>
  <c r="C306" i="1"/>
  <c r="B306" i="1"/>
  <c r="A306" i="1"/>
  <c r="L305" i="1"/>
  <c r="K305" i="1"/>
  <c r="J305" i="1"/>
  <c r="I305" i="1"/>
  <c r="H305" i="1"/>
  <c r="F305" i="1"/>
  <c r="E305" i="1"/>
  <c r="D305" i="1"/>
  <c r="C305" i="1"/>
  <c r="B305" i="1"/>
  <c r="A305" i="1"/>
  <c r="L304" i="1"/>
  <c r="K304" i="1"/>
  <c r="J304" i="1"/>
  <c r="I304" i="1"/>
  <c r="H304" i="1"/>
  <c r="F304" i="1"/>
  <c r="E304" i="1"/>
  <c r="D304" i="1"/>
  <c r="C304" i="1"/>
  <c r="B304" i="1"/>
  <c r="A304" i="1"/>
  <c r="L303" i="1"/>
  <c r="K303" i="1"/>
  <c r="J303" i="1"/>
  <c r="I303" i="1"/>
  <c r="H303" i="1"/>
  <c r="F303" i="1"/>
  <c r="E303" i="1"/>
  <c r="D303" i="1"/>
  <c r="C303" i="1"/>
  <c r="B303" i="1"/>
  <c r="A303" i="1"/>
  <c r="L302" i="1"/>
  <c r="K302" i="1"/>
  <c r="J302" i="1"/>
  <c r="I302" i="1"/>
  <c r="H302" i="1"/>
  <c r="F302" i="1"/>
  <c r="E302" i="1"/>
  <c r="D302" i="1"/>
  <c r="C302" i="1"/>
  <c r="B302" i="1"/>
  <c r="A302" i="1"/>
  <c r="L301" i="1"/>
  <c r="K301" i="1"/>
  <c r="J301" i="1"/>
  <c r="I301" i="1"/>
  <c r="H301" i="1"/>
  <c r="F301" i="1"/>
  <c r="E301" i="1"/>
  <c r="D301" i="1"/>
  <c r="C301" i="1"/>
  <c r="B301" i="1"/>
  <c r="A301" i="1"/>
  <c r="L300" i="1"/>
  <c r="K300" i="1"/>
  <c r="J300" i="1"/>
  <c r="I300" i="1"/>
  <c r="H300" i="1"/>
  <c r="F300" i="1"/>
  <c r="E300" i="1"/>
  <c r="D300" i="1"/>
  <c r="C300" i="1"/>
  <c r="B300" i="1"/>
  <c r="A300" i="1"/>
  <c r="L299" i="1"/>
  <c r="K299" i="1"/>
  <c r="J299" i="1"/>
  <c r="I299" i="1"/>
  <c r="H299" i="1"/>
  <c r="F299" i="1"/>
  <c r="E299" i="1"/>
  <c r="D299" i="1"/>
  <c r="C299" i="1"/>
  <c r="B299" i="1"/>
  <c r="A299" i="1"/>
  <c r="L298" i="1"/>
  <c r="K298" i="1"/>
  <c r="J298" i="1"/>
  <c r="I298" i="1"/>
  <c r="H298" i="1"/>
  <c r="F298" i="1"/>
  <c r="E298" i="1"/>
  <c r="D298" i="1"/>
  <c r="C298" i="1"/>
  <c r="B298" i="1"/>
  <c r="A298" i="1"/>
  <c r="L297" i="1"/>
  <c r="K297" i="1"/>
  <c r="J297" i="1"/>
  <c r="I297" i="1"/>
  <c r="H297" i="1"/>
  <c r="F297" i="1"/>
  <c r="E297" i="1"/>
  <c r="D297" i="1"/>
  <c r="C297" i="1"/>
  <c r="B297" i="1"/>
  <c r="A297" i="1"/>
  <c r="L296" i="1"/>
  <c r="K296" i="1"/>
  <c r="J296" i="1"/>
  <c r="I296" i="1"/>
  <c r="H296" i="1"/>
  <c r="F296" i="1"/>
  <c r="E296" i="1"/>
  <c r="D296" i="1"/>
  <c r="C296" i="1"/>
  <c r="B296" i="1"/>
  <c r="A296" i="1"/>
  <c r="L295" i="1"/>
  <c r="K295" i="1"/>
  <c r="J295" i="1"/>
  <c r="I295" i="1"/>
  <c r="H295" i="1"/>
  <c r="F295" i="1"/>
  <c r="E295" i="1"/>
  <c r="D295" i="1"/>
  <c r="C295" i="1"/>
  <c r="B295" i="1"/>
  <c r="A295" i="1"/>
  <c r="L294" i="1"/>
  <c r="K294" i="1"/>
  <c r="J294" i="1"/>
  <c r="I294" i="1"/>
  <c r="H294" i="1"/>
  <c r="F294" i="1"/>
  <c r="E294" i="1"/>
  <c r="D294" i="1"/>
  <c r="C294" i="1"/>
  <c r="B294" i="1"/>
  <c r="A294" i="1"/>
  <c r="L293" i="1"/>
  <c r="K293" i="1"/>
  <c r="J293" i="1"/>
  <c r="I293" i="1"/>
  <c r="H293" i="1"/>
  <c r="F293" i="1"/>
  <c r="E293" i="1"/>
  <c r="D293" i="1"/>
  <c r="C293" i="1"/>
  <c r="B293" i="1"/>
  <c r="A293" i="1"/>
  <c r="L292" i="1"/>
  <c r="K292" i="1"/>
  <c r="J292" i="1"/>
  <c r="I292" i="1"/>
  <c r="H292" i="1"/>
  <c r="F292" i="1"/>
  <c r="E292" i="1"/>
  <c r="D292" i="1"/>
  <c r="C292" i="1"/>
  <c r="B292" i="1"/>
  <c r="A292" i="1"/>
  <c r="L291" i="1"/>
  <c r="K291" i="1"/>
  <c r="J291" i="1"/>
  <c r="I291" i="1"/>
  <c r="H291" i="1"/>
  <c r="F291" i="1"/>
  <c r="E291" i="1"/>
  <c r="D291" i="1"/>
  <c r="C291" i="1"/>
  <c r="B291" i="1"/>
  <c r="A291" i="1"/>
  <c r="L290" i="1"/>
  <c r="K290" i="1"/>
  <c r="J290" i="1"/>
  <c r="I290" i="1"/>
  <c r="H290" i="1"/>
  <c r="F290" i="1"/>
  <c r="E290" i="1"/>
  <c r="D290" i="1"/>
  <c r="C290" i="1"/>
  <c r="B290" i="1"/>
  <c r="A290" i="1"/>
  <c r="L289" i="1"/>
  <c r="K289" i="1"/>
  <c r="J289" i="1"/>
  <c r="I289" i="1"/>
  <c r="H289" i="1"/>
  <c r="F289" i="1"/>
  <c r="E289" i="1"/>
  <c r="D289" i="1"/>
  <c r="C289" i="1"/>
  <c r="B289" i="1"/>
  <c r="A289" i="1"/>
  <c r="L288" i="1"/>
  <c r="K288" i="1"/>
  <c r="J288" i="1"/>
  <c r="I288" i="1"/>
  <c r="H288" i="1"/>
  <c r="F288" i="1"/>
  <c r="E288" i="1"/>
  <c r="D288" i="1"/>
  <c r="C288" i="1"/>
  <c r="B288" i="1"/>
  <c r="A288" i="1"/>
  <c r="L287" i="1"/>
  <c r="K287" i="1"/>
  <c r="J287" i="1"/>
  <c r="I287" i="1"/>
  <c r="H287" i="1"/>
  <c r="F287" i="1"/>
  <c r="E287" i="1"/>
  <c r="D287" i="1"/>
  <c r="C287" i="1"/>
  <c r="B287" i="1"/>
  <c r="A287" i="1"/>
  <c r="L286" i="1"/>
  <c r="K286" i="1"/>
  <c r="J286" i="1"/>
  <c r="I286" i="1"/>
  <c r="H286" i="1"/>
  <c r="F286" i="1"/>
  <c r="E286" i="1"/>
  <c r="D286" i="1"/>
  <c r="C286" i="1"/>
  <c r="B286" i="1"/>
  <c r="A286" i="1"/>
  <c r="L285" i="1"/>
  <c r="K285" i="1"/>
  <c r="J285" i="1"/>
  <c r="I285" i="1"/>
  <c r="H285" i="1"/>
  <c r="F285" i="1"/>
  <c r="E285" i="1"/>
  <c r="D285" i="1"/>
  <c r="C285" i="1"/>
  <c r="B285" i="1"/>
  <c r="A285" i="1"/>
  <c r="L284" i="1"/>
  <c r="K284" i="1"/>
  <c r="J284" i="1"/>
  <c r="I284" i="1"/>
  <c r="H284" i="1"/>
  <c r="F284" i="1"/>
  <c r="E284" i="1"/>
  <c r="D284" i="1"/>
  <c r="C284" i="1"/>
  <c r="B284" i="1"/>
  <c r="A284" i="1"/>
  <c r="L283" i="1"/>
  <c r="K283" i="1"/>
  <c r="J283" i="1"/>
  <c r="I283" i="1"/>
  <c r="H283" i="1"/>
  <c r="F283" i="1"/>
  <c r="E283" i="1"/>
  <c r="D283" i="1"/>
  <c r="C283" i="1"/>
  <c r="B283" i="1"/>
  <c r="A283" i="1"/>
  <c r="L282" i="1"/>
  <c r="K282" i="1"/>
  <c r="J282" i="1"/>
  <c r="I282" i="1"/>
  <c r="H282" i="1"/>
  <c r="F282" i="1"/>
  <c r="E282" i="1"/>
  <c r="D282" i="1"/>
  <c r="C282" i="1"/>
  <c r="B282" i="1"/>
  <c r="A282" i="1"/>
  <c r="L281" i="1"/>
  <c r="K281" i="1"/>
  <c r="J281" i="1"/>
  <c r="I281" i="1"/>
  <c r="H281" i="1"/>
  <c r="F281" i="1"/>
  <c r="E281" i="1"/>
  <c r="D281" i="1"/>
  <c r="C281" i="1"/>
  <c r="B281" i="1"/>
  <c r="A281" i="1"/>
  <c r="L280" i="1"/>
  <c r="K280" i="1"/>
  <c r="J280" i="1"/>
  <c r="I280" i="1"/>
  <c r="H280" i="1"/>
  <c r="F280" i="1"/>
  <c r="E280" i="1"/>
  <c r="D280" i="1"/>
  <c r="C280" i="1"/>
  <c r="B280" i="1"/>
  <c r="A280" i="1"/>
  <c r="L279" i="1"/>
  <c r="K279" i="1"/>
  <c r="J279" i="1"/>
  <c r="I279" i="1"/>
  <c r="H279" i="1"/>
  <c r="F279" i="1"/>
  <c r="E279" i="1"/>
  <c r="D279" i="1"/>
  <c r="C279" i="1"/>
  <c r="B279" i="1"/>
  <c r="A279" i="1"/>
  <c r="L278" i="1"/>
  <c r="K278" i="1"/>
  <c r="J278" i="1"/>
  <c r="I278" i="1"/>
  <c r="H278" i="1"/>
  <c r="F278" i="1"/>
  <c r="E278" i="1"/>
  <c r="D278" i="1"/>
  <c r="C278" i="1"/>
  <c r="B278" i="1"/>
  <c r="A278" i="1"/>
  <c r="L277" i="1"/>
  <c r="K277" i="1"/>
  <c r="J277" i="1"/>
  <c r="I277" i="1"/>
  <c r="H277" i="1"/>
  <c r="F277" i="1"/>
  <c r="E277" i="1"/>
  <c r="D277" i="1"/>
  <c r="C277" i="1"/>
  <c r="B277" i="1"/>
  <c r="A277" i="1"/>
  <c r="L276" i="1"/>
  <c r="K276" i="1"/>
  <c r="J276" i="1"/>
  <c r="I276" i="1"/>
  <c r="H276" i="1"/>
  <c r="F276" i="1"/>
  <c r="E276" i="1"/>
  <c r="D276" i="1"/>
  <c r="C276" i="1"/>
  <c r="B276" i="1"/>
  <c r="A276" i="1"/>
  <c r="L275" i="1"/>
  <c r="K275" i="1"/>
  <c r="J275" i="1"/>
  <c r="I275" i="1"/>
  <c r="H275" i="1"/>
  <c r="F275" i="1"/>
  <c r="E275" i="1"/>
  <c r="D275" i="1"/>
  <c r="C275" i="1"/>
  <c r="B275" i="1"/>
  <c r="A275" i="1"/>
  <c r="L274" i="1"/>
  <c r="K274" i="1"/>
  <c r="J274" i="1"/>
  <c r="I274" i="1"/>
  <c r="H274" i="1"/>
  <c r="F274" i="1"/>
  <c r="E274" i="1"/>
  <c r="D274" i="1"/>
  <c r="C274" i="1"/>
  <c r="B274" i="1"/>
  <c r="A274" i="1"/>
  <c r="L273" i="1"/>
  <c r="K273" i="1"/>
  <c r="J273" i="1"/>
  <c r="I273" i="1"/>
  <c r="H273" i="1"/>
  <c r="F273" i="1"/>
  <c r="E273" i="1"/>
  <c r="D273" i="1"/>
  <c r="C273" i="1"/>
  <c r="B273" i="1"/>
  <c r="A273" i="1"/>
  <c r="L272" i="1"/>
  <c r="K272" i="1"/>
  <c r="J272" i="1"/>
  <c r="I272" i="1"/>
  <c r="H272" i="1"/>
  <c r="F272" i="1"/>
  <c r="E272" i="1"/>
  <c r="D272" i="1"/>
  <c r="C272" i="1"/>
  <c r="B272" i="1"/>
  <c r="A272" i="1"/>
  <c r="L271" i="1"/>
  <c r="K271" i="1"/>
  <c r="J271" i="1"/>
  <c r="I271" i="1"/>
  <c r="H271" i="1"/>
  <c r="F271" i="1"/>
  <c r="E271" i="1"/>
  <c r="D271" i="1"/>
  <c r="C271" i="1"/>
  <c r="B271" i="1"/>
  <c r="A271" i="1"/>
  <c r="L270" i="1"/>
  <c r="K270" i="1"/>
  <c r="J270" i="1"/>
  <c r="I270" i="1"/>
  <c r="H270" i="1"/>
  <c r="F270" i="1"/>
  <c r="E270" i="1"/>
  <c r="D270" i="1"/>
  <c r="C270" i="1"/>
  <c r="B270" i="1"/>
  <c r="A270" i="1"/>
  <c r="L269" i="1"/>
  <c r="K269" i="1"/>
  <c r="J269" i="1"/>
  <c r="I269" i="1"/>
  <c r="H269" i="1"/>
  <c r="F269" i="1"/>
  <c r="E269" i="1"/>
  <c r="D269" i="1"/>
  <c r="C269" i="1"/>
  <c r="B269" i="1"/>
  <c r="A269" i="1"/>
  <c r="L268" i="1"/>
  <c r="K268" i="1"/>
  <c r="J268" i="1"/>
  <c r="I268" i="1"/>
  <c r="H268" i="1"/>
  <c r="F268" i="1"/>
  <c r="E268" i="1"/>
  <c r="D268" i="1"/>
  <c r="C268" i="1"/>
  <c r="B268" i="1"/>
  <c r="A268" i="1"/>
  <c r="L267" i="1"/>
  <c r="K267" i="1"/>
  <c r="J267" i="1"/>
  <c r="I267" i="1"/>
  <c r="H267" i="1"/>
  <c r="F267" i="1"/>
  <c r="E267" i="1"/>
  <c r="D267" i="1"/>
  <c r="C267" i="1"/>
  <c r="B267" i="1"/>
  <c r="A267" i="1"/>
  <c r="L266" i="1"/>
  <c r="K266" i="1"/>
  <c r="J266" i="1"/>
  <c r="I266" i="1"/>
  <c r="H266" i="1"/>
  <c r="F266" i="1"/>
  <c r="E266" i="1"/>
  <c r="D266" i="1"/>
  <c r="C266" i="1"/>
  <c r="B266" i="1"/>
  <c r="A266" i="1"/>
  <c r="L265" i="1"/>
  <c r="K265" i="1"/>
  <c r="J265" i="1"/>
  <c r="I265" i="1"/>
  <c r="H265" i="1"/>
  <c r="F265" i="1"/>
  <c r="E265" i="1"/>
  <c r="D265" i="1"/>
  <c r="C265" i="1"/>
  <c r="B265" i="1"/>
  <c r="A265" i="1"/>
  <c r="L264" i="1"/>
  <c r="K264" i="1"/>
  <c r="J264" i="1"/>
  <c r="I264" i="1"/>
  <c r="H264" i="1"/>
  <c r="F264" i="1"/>
  <c r="E264" i="1"/>
  <c r="D264" i="1"/>
  <c r="C264" i="1"/>
  <c r="B264" i="1"/>
  <c r="A264" i="1"/>
  <c r="L263" i="1"/>
  <c r="K263" i="1"/>
  <c r="J263" i="1"/>
  <c r="I263" i="1"/>
  <c r="H263" i="1"/>
  <c r="F263" i="1"/>
  <c r="E263" i="1"/>
  <c r="D263" i="1"/>
  <c r="C263" i="1"/>
  <c r="B263" i="1"/>
  <c r="A263" i="1"/>
  <c r="L262" i="1"/>
  <c r="K262" i="1"/>
  <c r="J262" i="1"/>
  <c r="I262" i="1"/>
  <c r="H262" i="1"/>
  <c r="F262" i="1"/>
  <c r="E262" i="1"/>
  <c r="D262" i="1"/>
  <c r="C262" i="1"/>
  <c r="B262" i="1"/>
  <c r="A262" i="1"/>
  <c r="L261" i="1"/>
  <c r="K261" i="1"/>
  <c r="J261" i="1"/>
  <c r="I261" i="1"/>
  <c r="H261" i="1"/>
  <c r="F261" i="1"/>
  <c r="E261" i="1"/>
  <c r="D261" i="1"/>
  <c r="C261" i="1"/>
  <c r="B261" i="1"/>
  <c r="A261" i="1"/>
  <c r="L260" i="1"/>
  <c r="K260" i="1"/>
  <c r="J260" i="1"/>
  <c r="I260" i="1"/>
  <c r="H260" i="1"/>
  <c r="F260" i="1"/>
  <c r="E260" i="1"/>
  <c r="D260" i="1"/>
  <c r="C260" i="1"/>
  <c r="B260" i="1"/>
  <c r="A260" i="1"/>
  <c r="L259" i="1"/>
  <c r="K259" i="1"/>
  <c r="J259" i="1"/>
  <c r="I259" i="1"/>
  <c r="H259" i="1"/>
  <c r="F259" i="1"/>
  <c r="E259" i="1"/>
  <c r="D259" i="1"/>
  <c r="C259" i="1"/>
  <c r="B259" i="1"/>
  <c r="A259" i="1"/>
  <c r="L258" i="1"/>
  <c r="K258" i="1"/>
  <c r="J258" i="1"/>
  <c r="I258" i="1"/>
  <c r="H258" i="1"/>
  <c r="F258" i="1"/>
  <c r="E258" i="1"/>
  <c r="D258" i="1"/>
  <c r="C258" i="1"/>
  <c r="B258" i="1"/>
  <c r="A258" i="1"/>
  <c r="L257" i="1"/>
  <c r="K257" i="1"/>
  <c r="J257" i="1"/>
  <c r="I257" i="1"/>
  <c r="H257" i="1"/>
  <c r="F257" i="1"/>
  <c r="E257" i="1"/>
  <c r="D257" i="1"/>
  <c r="C257" i="1"/>
  <c r="B257" i="1"/>
  <c r="A257" i="1"/>
  <c r="L256" i="1"/>
  <c r="K256" i="1"/>
  <c r="J256" i="1"/>
  <c r="I256" i="1"/>
  <c r="H256" i="1"/>
  <c r="F256" i="1"/>
  <c r="E256" i="1"/>
  <c r="D256" i="1"/>
  <c r="C256" i="1"/>
  <c r="B256" i="1"/>
  <c r="A256" i="1"/>
  <c r="L255" i="1"/>
  <c r="K255" i="1"/>
  <c r="J255" i="1"/>
  <c r="I255" i="1"/>
  <c r="H255" i="1"/>
  <c r="F255" i="1"/>
  <c r="E255" i="1"/>
  <c r="D255" i="1"/>
  <c r="C255" i="1"/>
  <c r="B255" i="1"/>
  <c r="A255" i="1"/>
  <c r="L254" i="1"/>
  <c r="K254" i="1"/>
  <c r="J254" i="1"/>
  <c r="I254" i="1"/>
  <c r="H254" i="1"/>
  <c r="F254" i="1"/>
  <c r="E254" i="1"/>
  <c r="D254" i="1"/>
  <c r="C254" i="1"/>
  <c r="B254" i="1"/>
  <c r="A254" i="1"/>
  <c r="L253" i="1"/>
  <c r="K253" i="1"/>
  <c r="J253" i="1"/>
  <c r="I253" i="1"/>
  <c r="H253" i="1"/>
  <c r="F253" i="1"/>
  <c r="E253" i="1"/>
  <c r="D253" i="1"/>
  <c r="C253" i="1"/>
  <c r="B253" i="1"/>
  <c r="A253" i="1"/>
  <c r="L252" i="1"/>
  <c r="K252" i="1"/>
  <c r="J252" i="1"/>
  <c r="I252" i="1"/>
  <c r="H252" i="1"/>
  <c r="F252" i="1"/>
  <c r="E252" i="1"/>
  <c r="D252" i="1"/>
  <c r="C252" i="1"/>
  <c r="B252" i="1"/>
  <c r="A252" i="1"/>
  <c r="L251" i="1"/>
  <c r="K251" i="1"/>
  <c r="J251" i="1"/>
  <c r="I251" i="1"/>
  <c r="H251" i="1"/>
  <c r="F251" i="1"/>
  <c r="E251" i="1"/>
  <c r="D251" i="1"/>
  <c r="C251" i="1"/>
  <c r="B251" i="1"/>
  <c r="A251" i="1"/>
  <c r="L250" i="1"/>
  <c r="K250" i="1"/>
  <c r="J250" i="1"/>
  <c r="I250" i="1"/>
  <c r="H250" i="1"/>
  <c r="F250" i="1"/>
  <c r="E250" i="1"/>
  <c r="D250" i="1"/>
  <c r="C250" i="1"/>
  <c r="B250" i="1"/>
  <c r="A250" i="1"/>
  <c r="L249" i="1"/>
  <c r="K249" i="1"/>
  <c r="J249" i="1"/>
  <c r="I249" i="1"/>
  <c r="H249" i="1"/>
  <c r="F249" i="1"/>
  <c r="E249" i="1"/>
  <c r="D249" i="1"/>
  <c r="C249" i="1"/>
  <c r="B249" i="1"/>
  <c r="A249" i="1"/>
  <c r="L248" i="1"/>
  <c r="K248" i="1"/>
  <c r="J248" i="1"/>
  <c r="I248" i="1"/>
  <c r="H248" i="1"/>
  <c r="F248" i="1"/>
  <c r="E248" i="1"/>
  <c r="D248" i="1"/>
  <c r="C248" i="1"/>
  <c r="B248" i="1"/>
  <c r="A248" i="1"/>
  <c r="L247" i="1"/>
  <c r="K247" i="1"/>
  <c r="J247" i="1"/>
  <c r="I247" i="1"/>
  <c r="H247" i="1"/>
  <c r="F247" i="1"/>
  <c r="E247" i="1"/>
  <c r="D247" i="1"/>
  <c r="C247" i="1"/>
  <c r="B247" i="1"/>
  <c r="A247" i="1"/>
  <c r="L246" i="1"/>
  <c r="K246" i="1"/>
  <c r="J246" i="1"/>
  <c r="I246" i="1"/>
  <c r="H246" i="1"/>
  <c r="F246" i="1"/>
  <c r="E246" i="1"/>
  <c r="D246" i="1"/>
  <c r="C246" i="1"/>
  <c r="B246" i="1"/>
  <c r="A246" i="1"/>
  <c r="L245" i="1"/>
  <c r="K245" i="1"/>
  <c r="J245" i="1"/>
  <c r="I245" i="1"/>
  <c r="H245" i="1"/>
  <c r="F245" i="1"/>
  <c r="E245" i="1"/>
  <c r="D245" i="1"/>
  <c r="C245" i="1"/>
  <c r="B245" i="1"/>
  <c r="A245" i="1"/>
  <c r="L244" i="1"/>
  <c r="K244" i="1"/>
  <c r="J244" i="1"/>
  <c r="I244" i="1"/>
  <c r="H244" i="1"/>
  <c r="F244" i="1"/>
  <c r="E244" i="1"/>
  <c r="D244" i="1"/>
  <c r="C244" i="1"/>
  <c r="B244" i="1"/>
  <c r="A244" i="1"/>
  <c r="L243" i="1"/>
  <c r="K243" i="1"/>
  <c r="J243" i="1"/>
  <c r="I243" i="1"/>
  <c r="H243" i="1"/>
  <c r="F243" i="1"/>
  <c r="E243" i="1"/>
  <c r="D243" i="1"/>
  <c r="C243" i="1"/>
  <c r="B243" i="1"/>
  <c r="A243" i="1"/>
  <c r="L242" i="1"/>
  <c r="K242" i="1"/>
  <c r="J242" i="1"/>
  <c r="I242" i="1"/>
  <c r="H242" i="1"/>
  <c r="F242" i="1"/>
  <c r="E242" i="1"/>
  <c r="D242" i="1"/>
  <c r="C242" i="1"/>
  <c r="B242" i="1"/>
  <c r="A242" i="1"/>
  <c r="L241" i="1"/>
  <c r="K241" i="1"/>
  <c r="J241" i="1"/>
  <c r="I241" i="1"/>
  <c r="H241" i="1"/>
  <c r="F241" i="1"/>
  <c r="E241" i="1"/>
  <c r="D241" i="1"/>
  <c r="C241" i="1"/>
  <c r="B241" i="1"/>
  <c r="A241" i="1"/>
  <c r="L240" i="1"/>
  <c r="K240" i="1"/>
  <c r="J240" i="1"/>
  <c r="I240" i="1"/>
  <c r="H240" i="1"/>
  <c r="F240" i="1"/>
  <c r="E240" i="1"/>
  <c r="D240" i="1"/>
  <c r="C240" i="1"/>
  <c r="B240" i="1"/>
  <c r="A240" i="1"/>
  <c r="L239" i="1"/>
  <c r="K239" i="1"/>
  <c r="J239" i="1"/>
  <c r="I239" i="1"/>
  <c r="H239" i="1"/>
  <c r="F239" i="1"/>
  <c r="E239" i="1"/>
  <c r="D239" i="1"/>
  <c r="C239" i="1"/>
  <c r="B239" i="1"/>
  <c r="A239" i="1"/>
  <c r="L238" i="1"/>
  <c r="K238" i="1"/>
  <c r="J238" i="1"/>
  <c r="I238" i="1"/>
  <c r="H238" i="1"/>
  <c r="F238" i="1"/>
  <c r="E238" i="1"/>
  <c r="D238" i="1"/>
  <c r="C238" i="1"/>
  <c r="B238" i="1"/>
  <c r="A238" i="1"/>
  <c r="L237" i="1"/>
  <c r="K237" i="1"/>
  <c r="J237" i="1"/>
  <c r="I237" i="1"/>
  <c r="H237" i="1"/>
  <c r="F237" i="1"/>
  <c r="E237" i="1"/>
  <c r="D237" i="1"/>
  <c r="C237" i="1"/>
  <c r="B237" i="1"/>
  <c r="A237" i="1"/>
  <c r="L236" i="1"/>
  <c r="K236" i="1"/>
  <c r="J236" i="1"/>
  <c r="I236" i="1"/>
  <c r="H236" i="1"/>
  <c r="F236" i="1"/>
  <c r="E236" i="1"/>
  <c r="D236" i="1"/>
  <c r="C236" i="1"/>
  <c r="B236" i="1"/>
  <c r="A236" i="1"/>
  <c r="L235" i="1"/>
  <c r="K235" i="1"/>
  <c r="J235" i="1"/>
  <c r="I235" i="1"/>
  <c r="H235" i="1"/>
  <c r="F235" i="1"/>
  <c r="E235" i="1"/>
  <c r="D235" i="1"/>
  <c r="C235" i="1"/>
  <c r="B235" i="1"/>
  <c r="A235" i="1"/>
  <c r="L234" i="1"/>
  <c r="K234" i="1"/>
  <c r="J234" i="1"/>
  <c r="I234" i="1"/>
  <c r="H234" i="1"/>
  <c r="F234" i="1"/>
  <c r="E234" i="1"/>
  <c r="D234" i="1"/>
  <c r="C234" i="1"/>
  <c r="B234" i="1"/>
  <c r="A234" i="1"/>
  <c r="L233" i="1"/>
  <c r="K233" i="1"/>
  <c r="J233" i="1"/>
  <c r="I233" i="1"/>
  <c r="H233" i="1"/>
  <c r="F233" i="1"/>
  <c r="E233" i="1"/>
  <c r="D233" i="1"/>
  <c r="C233" i="1"/>
  <c r="B233" i="1"/>
  <c r="A233" i="1"/>
  <c r="L232" i="1"/>
  <c r="K232" i="1"/>
  <c r="J232" i="1"/>
  <c r="I232" i="1"/>
  <c r="H232" i="1"/>
  <c r="F232" i="1"/>
  <c r="E232" i="1"/>
  <c r="D232" i="1"/>
  <c r="C232" i="1"/>
  <c r="B232" i="1"/>
  <c r="A232" i="1"/>
  <c r="L231" i="1"/>
  <c r="K231" i="1"/>
  <c r="J231" i="1"/>
  <c r="I231" i="1"/>
  <c r="H231" i="1"/>
  <c r="F231" i="1"/>
  <c r="E231" i="1"/>
  <c r="D231" i="1"/>
  <c r="C231" i="1"/>
  <c r="B231" i="1"/>
  <c r="A231" i="1"/>
  <c r="L230" i="1"/>
  <c r="K230" i="1"/>
  <c r="J230" i="1"/>
  <c r="I230" i="1"/>
  <c r="H230" i="1"/>
  <c r="F230" i="1"/>
  <c r="E230" i="1"/>
  <c r="D230" i="1"/>
  <c r="C230" i="1"/>
  <c r="B230" i="1"/>
  <c r="A230" i="1"/>
  <c r="L229" i="1"/>
  <c r="K229" i="1"/>
  <c r="J229" i="1"/>
  <c r="I229" i="1"/>
  <c r="H229" i="1"/>
  <c r="F229" i="1"/>
  <c r="E229" i="1"/>
  <c r="D229" i="1"/>
  <c r="C229" i="1"/>
  <c r="B229" i="1"/>
  <c r="A229" i="1"/>
  <c r="L228" i="1"/>
  <c r="K228" i="1"/>
  <c r="J228" i="1"/>
  <c r="I228" i="1"/>
  <c r="H228" i="1"/>
  <c r="F228" i="1"/>
  <c r="E228" i="1"/>
  <c r="D228" i="1"/>
  <c r="C228" i="1"/>
  <c r="B228" i="1"/>
  <c r="A228" i="1"/>
  <c r="L227" i="1"/>
  <c r="K227" i="1"/>
  <c r="J227" i="1"/>
  <c r="I227" i="1"/>
  <c r="H227" i="1"/>
  <c r="F227" i="1"/>
  <c r="E227" i="1"/>
  <c r="D227" i="1"/>
  <c r="C227" i="1"/>
  <c r="B227" i="1"/>
  <c r="A227" i="1"/>
  <c r="L226" i="1"/>
  <c r="K226" i="1"/>
  <c r="J226" i="1"/>
  <c r="I226" i="1"/>
  <c r="H226" i="1"/>
  <c r="F226" i="1"/>
  <c r="E226" i="1"/>
  <c r="D226" i="1"/>
  <c r="C226" i="1"/>
  <c r="B226" i="1"/>
  <c r="A226" i="1"/>
  <c r="L225" i="1"/>
  <c r="K225" i="1"/>
  <c r="J225" i="1"/>
  <c r="I225" i="1"/>
  <c r="H225" i="1"/>
  <c r="F225" i="1"/>
  <c r="E225" i="1"/>
  <c r="D225" i="1"/>
  <c r="C225" i="1"/>
  <c r="B225" i="1"/>
  <c r="A225" i="1"/>
  <c r="L224" i="1"/>
  <c r="K224" i="1"/>
  <c r="J224" i="1"/>
  <c r="I224" i="1"/>
  <c r="H224" i="1"/>
  <c r="F224" i="1"/>
  <c r="E224" i="1"/>
  <c r="D224" i="1"/>
  <c r="C224" i="1"/>
  <c r="B224" i="1"/>
  <c r="A224" i="1"/>
  <c r="L223" i="1"/>
  <c r="K223" i="1"/>
  <c r="J223" i="1"/>
  <c r="I223" i="1"/>
  <c r="H223" i="1"/>
  <c r="F223" i="1"/>
  <c r="E223" i="1"/>
  <c r="D223" i="1"/>
  <c r="C223" i="1"/>
  <c r="B223" i="1"/>
  <c r="A223" i="1"/>
  <c r="L222" i="1"/>
  <c r="K222" i="1"/>
  <c r="J222" i="1"/>
  <c r="I222" i="1"/>
  <c r="H222" i="1"/>
  <c r="F222" i="1"/>
  <c r="E222" i="1"/>
  <c r="D222" i="1"/>
  <c r="C222" i="1"/>
  <c r="B222" i="1"/>
  <c r="A222" i="1"/>
  <c r="L221" i="1"/>
  <c r="K221" i="1"/>
  <c r="J221" i="1"/>
  <c r="I221" i="1"/>
  <c r="H221" i="1"/>
  <c r="F221" i="1"/>
  <c r="E221" i="1"/>
  <c r="D221" i="1"/>
  <c r="C221" i="1"/>
  <c r="B221" i="1"/>
  <c r="A221" i="1"/>
  <c r="L220" i="1"/>
  <c r="K220" i="1"/>
  <c r="J220" i="1"/>
  <c r="I220" i="1"/>
  <c r="H220" i="1"/>
  <c r="F220" i="1"/>
  <c r="E220" i="1"/>
  <c r="D220" i="1"/>
  <c r="C220" i="1"/>
  <c r="B220" i="1"/>
  <c r="A220" i="1"/>
  <c r="L219" i="1"/>
  <c r="K219" i="1"/>
  <c r="J219" i="1"/>
  <c r="I219" i="1"/>
  <c r="H219" i="1"/>
  <c r="F219" i="1"/>
  <c r="E219" i="1"/>
  <c r="D219" i="1"/>
  <c r="C219" i="1"/>
  <c r="B219" i="1"/>
  <c r="A219" i="1"/>
  <c r="L218" i="1"/>
  <c r="K218" i="1"/>
  <c r="J218" i="1"/>
  <c r="I218" i="1"/>
  <c r="H218" i="1"/>
  <c r="F218" i="1"/>
  <c r="E218" i="1"/>
  <c r="D218" i="1"/>
  <c r="C218" i="1"/>
  <c r="B218" i="1"/>
  <c r="A218" i="1"/>
  <c r="L217" i="1"/>
  <c r="K217" i="1"/>
  <c r="J217" i="1"/>
  <c r="I217" i="1"/>
  <c r="H217" i="1"/>
  <c r="F217" i="1"/>
  <c r="E217" i="1"/>
  <c r="D217" i="1"/>
  <c r="C217" i="1"/>
  <c r="B217" i="1"/>
  <c r="A217" i="1"/>
  <c r="L216" i="1"/>
  <c r="K216" i="1"/>
  <c r="J216" i="1"/>
  <c r="I216" i="1"/>
  <c r="H216" i="1"/>
  <c r="F216" i="1"/>
  <c r="E216" i="1"/>
  <c r="D216" i="1"/>
  <c r="C216" i="1"/>
  <c r="B216" i="1"/>
  <c r="A216" i="1"/>
  <c r="L215" i="1"/>
  <c r="K215" i="1"/>
  <c r="J215" i="1"/>
  <c r="I215" i="1"/>
  <c r="H215" i="1"/>
  <c r="F215" i="1"/>
  <c r="E215" i="1"/>
  <c r="D215" i="1"/>
  <c r="C215" i="1"/>
  <c r="B215" i="1"/>
  <c r="A215" i="1"/>
  <c r="L214" i="1"/>
  <c r="K214" i="1"/>
  <c r="J214" i="1"/>
  <c r="I214" i="1"/>
  <c r="H214" i="1"/>
  <c r="F214" i="1"/>
  <c r="E214" i="1"/>
  <c r="D214" i="1"/>
  <c r="C214" i="1"/>
  <c r="B214" i="1"/>
  <c r="A214" i="1"/>
  <c r="L213" i="1"/>
  <c r="K213" i="1"/>
  <c r="J213" i="1"/>
  <c r="I213" i="1"/>
  <c r="H213" i="1"/>
  <c r="F213" i="1"/>
  <c r="E213" i="1"/>
  <c r="D213" i="1"/>
  <c r="C213" i="1"/>
  <c r="B213" i="1"/>
  <c r="A213" i="1"/>
  <c r="L212" i="1"/>
  <c r="K212" i="1"/>
  <c r="J212" i="1"/>
  <c r="I212" i="1"/>
  <c r="H212" i="1"/>
  <c r="F212" i="1"/>
  <c r="E212" i="1"/>
  <c r="D212" i="1"/>
  <c r="C212" i="1"/>
  <c r="B212" i="1"/>
  <c r="A212" i="1"/>
  <c r="L211" i="1"/>
  <c r="K211" i="1"/>
  <c r="J211" i="1"/>
  <c r="I211" i="1"/>
  <c r="H211" i="1"/>
  <c r="F211" i="1"/>
  <c r="E211" i="1"/>
  <c r="D211" i="1"/>
  <c r="C211" i="1"/>
  <c r="B211" i="1"/>
  <c r="A211" i="1"/>
  <c r="L210" i="1"/>
  <c r="K210" i="1"/>
  <c r="J210" i="1"/>
  <c r="I210" i="1"/>
  <c r="H210" i="1"/>
  <c r="F210" i="1"/>
  <c r="E210" i="1"/>
  <c r="D210" i="1"/>
  <c r="C210" i="1"/>
  <c r="B210" i="1"/>
  <c r="A210" i="1"/>
  <c r="L209" i="1"/>
  <c r="K209" i="1"/>
  <c r="J209" i="1"/>
  <c r="I209" i="1"/>
  <c r="H209" i="1"/>
  <c r="F209" i="1"/>
  <c r="E209" i="1"/>
  <c r="D209" i="1"/>
  <c r="C209" i="1"/>
  <c r="B209" i="1"/>
  <c r="A209" i="1"/>
  <c r="L208" i="1"/>
  <c r="K208" i="1"/>
  <c r="J208" i="1"/>
  <c r="I208" i="1"/>
  <c r="H208" i="1"/>
  <c r="F208" i="1"/>
  <c r="E208" i="1"/>
  <c r="D208" i="1"/>
  <c r="C208" i="1"/>
  <c r="B208" i="1"/>
  <c r="A208" i="1"/>
  <c r="L207" i="1"/>
  <c r="K207" i="1"/>
  <c r="J207" i="1"/>
  <c r="I207" i="1"/>
  <c r="H207" i="1"/>
  <c r="F207" i="1"/>
  <c r="E207" i="1"/>
  <c r="D207" i="1"/>
  <c r="C207" i="1"/>
  <c r="B207" i="1"/>
  <c r="A207" i="1"/>
  <c r="L206" i="1"/>
  <c r="K206" i="1"/>
  <c r="J206" i="1"/>
  <c r="I206" i="1"/>
  <c r="H206" i="1"/>
  <c r="F206" i="1"/>
  <c r="E206" i="1"/>
  <c r="D206" i="1"/>
  <c r="C206" i="1"/>
  <c r="B206" i="1"/>
  <c r="A206" i="1"/>
  <c r="L205" i="1"/>
  <c r="K205" i="1"/>
  <c r="J205" i="1"/>
  <c r="I205" i="1"/>
  <c r="H205" i="1"/>
  <c r="F205" i="1"/>
  <c r="E205" i="1"/>
  <c r="D205" i="1"/>
  <c r="C205" i="1"/>
  <c r="B205" i="1"/>
  <c r="A205" i="1"/>
  <c r="L204" i="1"/>
  <c r="K204" i="1"/>
  <c r="J204" i="1"/>
  <c r="I204" i="1"/>
  <c r="H204" i="1"/>
  <c r="F204" i="1"/>
  <c r="E204" i="1"/>
  <c r="D204" i="1"/>
  <c r="C204" i="1"/>
  <c r="B204" i="1"/>
  <c r="A204" i="1"/>
  <c r="L203" i="1"/>
  <c r="K203" i="1"/>
  <c r="J203" i="1"/>
  <c r="I203" i="1"/>
  <c r="H203" i="1"/>
  <c r="F203" i="1"/>
  <c r="E203" i="1"/>
  <c r="D203" i="1"/>
  <c r="C203" i="1"/>
  <c r="B203" i="1"/>
  <c r="A203" i="1"/>
  <c r="L202" i="1"/>
  <c r="K202" i="1"/>
  <c r="J202" i="1"/>
  <c r="I202" i="1"/>
  <c r="H202" i="1"/>
  <c r="F202" i="1"/>
  <c r="E202" i="1"/>
  <c r="D202" i="1"/>
  <c r="C202" i="1"/>
  <c r="B202" i="1"/>
  <c r="A202" i="1"/>
  <c r="L201" i="1"/>
  <c r="K201" i="1"/>
  <c r="J201" i="1"/>
  <c r="I201" i="1"/>
  <c r="H201" i="1"/>
  <c r="F201" i="1"/>
  <c r="E201" i="1"/>
  <c r="D201" i="1"/>
  <c r="C201" i="1"/>
  <c r="B201" i="1"/>
  <c r="A201" i="1"/>
  <c r="L200" i="1"/>
  <c r="K200" i="1"/>
  <c r="J200" i="1"/>
  <c r="I200" i="1"/>
  <c r="H200" i="1"/>
  <c r="F200" i="1"/>
  <c r="E200" i="1"/>
  <c r="D200" i="1"/>
  <c r="C200" i="1"/>
  <c r="B200" i="1"/>
  <c r="A200" i="1"/>
  <c r="L199" i="1"/>
  <c r="K199" i="1"/>
  <c r="J199" i="1"/>
  <c r="I199" i="1"/>
  <c r="H199" i="1"/>
  <c r="F199" i="1"/>
  <c r="E199" i="1"/>
  <c r="D199" i="1"/>
  <c r="C199" i="1"/>
  <c r="B199" i="1"/>
  <c r="A199" i="1"/>
  <c r="L198" i="1"/>
  <c r="K198" i="1"/>
  <c r="J198" i="1"/>
  <c r="I198" i="1"/>
  <c r="H198" i="1"/>
  <c r="F198" i="1"/>
  <c r="E198" i="1"/>
  <c r="D198" i="1"/>
  <c r="C198" i="1"/>
  <c r="B198" i="1"/>
  <c r="A198" i="1"/>
  <c r="L197" i="1"/>
  <c r="K197" i="1"/>
  <c r="J197" i="1"/>
  <c r="I197" i="1"/>
  <c r="H197" i="1"/>
  <c r="F197" i="1"/>
  <c r="E197" i="1"/>
  <c r="D197" i="1"/>
  <c r="C197" i="1"/>
  <c r="B197" i="1"/>
  <c r="A197" i="1"/>
  <c r="L196" i="1"/>
  <c r="K196" i="1"/>
  <c r="J196" i="1"/>
  <c r="I196" i="1"/>
  <c r="H196" i="1"/>
  <c r="F196" i="1"/>
  <c r="E196" i="1"/>
  <c r="D196" i="1"/>
  <c r="C196" i="1"/>
  <c r="B196" i="1"/>
  <c r="A196" i="1"/>
  <c r="L195" i="1"/>
  <c r="K195" i="1"/>
  <c r="J195" i="1"/>
  <c r="I195" i="1"/>
  <c r="H195" i="1"/>
  <c r="F195" i="1"/>
  <c r="E195" i="1"/>
  <c r="D195" i="1"/>
  <c r="C195" i="1"/>
  <c r="B195" i="1"/>
  <c r="A195" i="1"/>
  <c r="L194" i="1"/>
  <c r="K194" i="1"/>
  <c r="J194" i="1"/>
  <c r="I194" i="1"/>
  <c r="H194" i="1"/>
  <c r="F194" i="1"/>
  <c r="E194" i="1"/>
  <c r="D194" i="1"/>
  <c r="C194" i="1"/>
  <c r="B194" i="1"/>
  <c r="A194" i="1"/>
  <c r="L193" i="1"/>
  <c r="K193" i="1"/>
  <c r="J193" i="1"/>
  <c r="I193" i="1"/>
  <c r="H193" i="1"/>
  <c r="F193" i="1"/>
  <c r="E193" i="1"/>
  <c r="D193" i="1"/>
  <c r="C193" i="1"/>
  <c r="B193" i="1"/>
  <c r="A193" i="1"/>
  <c r="L192" i="1"/>
  <c r="K192" i="1"/>
  <c r="J192" i="1"/>
  <c r="I192" i="1"/>
  <c r="H192" i="1"/>
  <c r="F192" i="1"/>
  <c r="E192" i="1"/>
  <c r="D192" i="1"/>
  <c r="C192" i="1"/>
  <c r="B192" i="1"/>
  <c r="A192" i="1"/>
  <c r="L191" i="1"/>
  <c r="K191" i="1"/>
  <c r="J191" i="1"/>
  <c r="I191" i="1"/>
  <c r="H191" i="1"/>
  <c r="F191" i="1"/>
  <c r="E191" i="1"/>
  <c r="D191" i="1"/>
  <c r="C191" i="1"/>
  <c r="B191" i="1"/>
  <c r="A191" i="1"/>
  <c r="L190" i="1"/>
  <c r="K190" i="1"/>
  <c r="J190" i="1"/>
  <c r="I190" i="1"/>
  <c r="H190" i="1"/>
  <c r="F190" i="1"/>
  <c r="E190" i="1"/>
  <c r="D190" i="1"/>
  <c r="C190" i="1"/>
  <c r="B190" i="1"/>
  <c r="A190" i="1"/>
  <c r="L189" i="1"/>
  <c r="K189" i="1"/>
  <c r="J189" i="1"/>
  <c r="I189" i="1"/>
  <c r="H189" i="1"/>
  <c r="F189" i="1"/>
  <c r="E189" i="1"/>
  <c r="D189" i="1"/>
  <c r="C189" i="1"/>
  <c r="B189" i="1"/>
  <c r="A189" i="1"/>
  <c r="L188" i="1"/>
  <c r="K188" i="1"/>
  <c r="J188" i="1"/>
  <c r="I188" i="1"/>
  <c r="H188" i="1"/>
  <c r="F188" i="1"/>
  <c r="E188" i="1"/>
  <c r="D188" i="1"/>
  <c r="C188" i="1"/>
  <c r="B188" i="1"/>
  <c r="A188" i="1"/>
  <c r="L187" i="1"/>
  <c r="K187" i="1"/>
  <c r="J187" i="1"/>
  <c r="I187" i="1"/>
  <c r="H187" i="1"/>
  <c r="F187" i="1"/>
  <c r="E187" i="1"/>
  <c r="D187" i="1"/>
  <c r="C187" i="1"/>
  <c r="B187" i="1"/>
  <c r="A187" i="1"/>
  <c r="L186" i="1"/>
  <c r="K186" i="1"/>
  <c r="J186" i="1"/>
  <c r="I186" i="1"/>
  <c r="H186" i="1"/>
  <c r="F186" i="1"/>
  <c r="E186" i="1"/>
  <c r="D186" i="1"/>
  <c r="C186" i="1"/>
  <c r="B186" i="1"/>
  <c r="A186" i="1"/>
  <c r="L185" i="1"/>
  <c r="K185" i="1"/>
  <c r="J185" i="1"/>
  <c r="I185" i="1"/>
  <c r="H185" i="1"/>
  <c r="F185" i="1"/>
  <c r="E185" i="1"/>
  <c r="D185" i="1"/>
  <c r="C185" i="1"/>
  <c r="B185" i="1"/>
  <c r="A185" i="1"/>
  <c r="L184" i="1"/>
  <c r="K184" i="1"/>
  <c r="J184" i="1"/>
  <c r="I184" i="1"/>
  <c r="H184" i="1"/>
  <c r="F184" i="1"/>
  <c r="E184" i="1"/>
  <c r="D184" i="1"/>
  <c r="C184" i="1"/>
  <c r="B184" i="1"/>
  <c r="A184" i="1"/>
  <c r="L183" i="1"/>
  <c r="K183" i="1"/>
  <c r="J183" i="1"/>
  <c r="I183" i="1"/>
  <c r="H183" i="1"/>
  <c r="F183" i="1"/>
  <c r="E183" i="1"/>
  <c r="D183" i="1"/>
  <c r="C183" i="1"/>
  <c r="B183" i="1"/>
  <c r="A183" i="1"/>
  <c r="L182" i="1"/>
  <c r="K182" i="1"/>
  <c r="J182" i="1"/>
  <c r="I182" i="1"/>
  <c r="H182" i="1"/>
  <c r="F182" i="1"/>
  <c r="E182" i="1"/>
  <c r="D182" i="1"/>
  <c r="C182" i="1"/>
  <c r="B182" i="1"/>
  <c r="A182" i="1"/>
  <c r="L181" i="1"/>
  <c r="K181" i="1"/>
  <c r="J181" i="1"/>
  <c r="I181" i="1"/>
  <c r="H181" i="1"/>
  <c r="F181" i="1"/>
  <c r="E181" i="1"/>
  <c r="D181" i="1"/>
  <c r="C181" i="1"/>
  <c r="B181" i="1"/>
  <c r="A181" i="1"/>
  <c r="L180" i="1"/>
  <c r="K180" i="1"/>
  <c r="J180" i="1"/>
  <c r="I180" i="1"/>
  <c r="H180" i="1"/>
  <c r="F180" i="1"/>
  <c r="E180" i="1"/>
  <c r="D180" i="1"/>
  <c r="C180" i="1"/>
  <c r="B180" i="1"/>
  <c r="A180" i="1"/>
  <c r="L179" i="1"/>
  <c r="K179" i="1"/>
  <c r="J179" i="1"/>
  <c r="I179" i="1"/>
  <c r="H179" i="1"/>
  <c r="F179" i="1"/>
  <c r="E179" i="1"/>
  <c r="D179" i="1"/>
  <c r="C179" i="1"/>
  <c r="B179" i="1"/>
  <c r="A179" i="1"/>
  <c r="L178" i="1"/>
  <c r="K178" i="1"/>
  <c r="J178" i="1"/>
  <c r="I178" i="1"/>
  <c r="H178" i="1"/>
  <c r="F178" i="1"/>
  <c r="E178" i="1"/>
  <c r="D178" i="1"/>
  <c r="C178" i="1"/>
  <c r="B178" i="1"/>
  <c r="A178" i="1"/>
  <c r="L177" i="1"/>
  <c r="K177" i="1"/>
  <c r="J177" i="1"/>
  <c r="I177" i="1"/>
  <c r="H177" i="1"/>
  <c r="F177" i="1"/>
  <c r="E177" i="1"/>
  <c r="D177" i="1"/>
  <c r="C177" i="1"/>
  <c r="B177" i="1"/>
  <c r="A177" i="1"/>
  <c r="L176" i="1"/>
  <c r="K176" i="1"/>
  <c r="J176" i="1"/>
  <c r="I176" i="1"/>
  <c r="H176" i="1"/>
  <c r="F176" i="1"/>
  <c r="E176" i="1"/>
  <c r="D176" i="1"/>
  <c r="C176" i="1"/>
  <c r="B176" i="1"/>
  <c r="A176" i="1"/>
  <c r="L175" i="1"/>
  <c r="K175" i="1"/>
  <c r="J175" i="1"/>
  <c r="I175" i="1"/>
  <c r="H175" i="1"/>
  <c r="F175" i="1"/>
  <c r="E175" i="1"/>
  <c r="D175" i="1"/>
  <c r="C175" i="1"/>
  <c r="B175" i="1"/>
  <c r="A175" i="1"/>
  <c r="L174" i="1"/>
  <c r="K174" i="1"/>
  <c r="J174" i="1"/>
  <c r="I174" i="1"/>
  <c r="H174" i="1"/>
  <c r="F174" i="1"/>
  <c r="E174" i="1"/>
  <c r="D174" i="1"/>
  <c r="C174" i="1"/>
  <c r="B174" i="1"/>
  <c r="A174" i="1"/>
  <c r="L173" i="1"/>
  <c r="K173" i="1"/>
  <c r="J173" i="1"/>
  <c r="I173" i="1"/>
  <c r="H173" i="1"/>
  <c r="F173" i="1"/>
  <c r="E173" i="1"/>
  <c r="D173" i="1"/>
  <c r="C173" i="1"/>
  <c r="B173" i="1"/>
  <c r="A173" i="1"/>
  <c r="L172" i="1"/>
  <c r="K172" i="1"/>
  <c r="J172" i="1"/>
  <c r="I172" i="1"/>
  <c r="H172" i="1"/>
  <c r="F172" i="1"/>
  <c r="E172" i="1"/>
  <c r="D172" i="1"/>
  <c r="C172" i="1"/>
  <c r="B172" i="1"/>
  <c r="A172" i="1"/>
  <c r="L171" i="1"/>
  <c r="K171" i="1"/>
  <c r="J171" i="1"/>
  <c r="I171" i="1"/>
  <c r="H171" i="1"/>
  <c r="F171" i="1"/>
  <c r="E171" i="1"/>
  <c r="D171" i="1"/>
  <c r="C171" i="1"/>
  <c r="B171" i="1"/>
  <c r="A171" i="1"/>
  <c r="L170" i="1"/>
  <c r="K170" i="1"/>
  <c r="J170" i="1"/>
  <c r="I170" i="1"/>
  <c r="H170" i="1"/>
  <c r="F170" i="1"/>
  <c r="E170" i="1"/>
  <c r="D170" i="1"/>
  <c r="C170" i="1"/>
  <c r="B170" i="1"/>
  <c r="A170" i="1"/>
  <c r="L169" i="1"/>
  <c r="K169" i="1"/>
  <c r="J169" i="1"/>
  <c r="I169" i="1"/>
  <c r="H169" i="1"/>
  <c r="F169" i="1"/>
  <c r="E169" i="1"/>
  <c r="D169" i="1"/>
  <c r="C169" i="1"/>
  <c r="B169" i="1"/>
  <c r="A169" i="1"/>
  <c r="L168" i="1"/>
  <c r="K168" i="1"/>
  <c r="J168" i="1"/>
  <c r="I168" i="1"/>
  <c r="H168" i="1"/>
  <c r="F168" i="1"/>
  <c r="E168" i="1"/>
  <c r="D168" i="1"/>
  <c r="C168" i="1"/>
  <c r="B168" i="1"/>
  <c r="A168" i="1"/>
  <c r="L167" i="1"/>
  <c r="K167" i="1"/>
  <c r="J167" i="1"/>
  <c r="I167" i="1"/>
  <c r="H167" i="1"/>
  <c r="F167" i="1"/>
  <c r="E167" i="1"/>
  <c r="D167" i="1"/>
  <c r="C167" i="1"/>
  <c r="B167" i="1"/>
  <c r="A167" i="1"/>
  <c r="L166" i="1"/>
  <c r="K166" i="1"/>
  <c r="J166" i="1"/>
  <c r="I166" i="1"/>
  <c r="H166" i="1"/>
  <c r="F166" i="1"/>
  <c r="E166" i="1"/>
  <c r="D166" i="1"/>
  <c r="C166" i="1"/>
  <c r="B166" i="1"/>
  <c r="A166" i="1"/>
  <c r="L165" i="1"/>
  <c r="K165" i="1"/>
  <c r="J165" i="1"/>
  <c r="I165" i="1"/>
  <c r="H165" i="1"/>
  <c r="F165" i="1"/>
  <c r="E165" i="1"/>
  <c r="D165" i="1"/>
  <c r="C165" i="1"/>
  <c r="B165" i="1"/>
  <c r="A165" i="1"/>
  <c r="L164" i="1"/>
  <c r="K164" i="1"/>
  <c r="J164" i="1"/>
  <c r="I164" i="1"/>
  <c r="H164" i="1"/>
  <c r="F164" i="1"/>
  <c r="E164" i="1"/>
  <c r="D164" i="1"/>
  <c r="C164" i="1"/>
  <c r="B164" i="1"/>
  <c r="A164" i="1"/>
  <c r="L163" i="1"/>
  <c r="K163" i="1"/>
  <c r="J163" i="1"/>
  <c r="I163" i="1"/>
  <c r="H163" i="1"/>
  <c r="F163" i="1"/>
  <c r="E163" i="1"/>
  <c r="D163" i="1"/>
  <c r="C163" i="1"/>
  <c r="B163" i="1"/>
  <c r="A163" i="1"/>
  <c r="L162" i="1"/>
  <c r="K162" i="1"/>
  <c r="J162" i="1"/>
  <c r="I162" i="1"/>
  <c r="H162" i="1"/>
  <c r="F162" i="1"/>
  <c r="E162" i="1"/>
  <c r="D162" i="1"/>
  <c r="C162" i="1"/>
  <c r="B162" i="1"/>
  <c r="A162" i="1"/>
  <c r="L161" i="1"/>
  <c r="K161" i="1"/>
  <c r="J161" i="1"/>
  <c r="I161" i="1"/>
  <c r="H161" i="1"/>
  <c r="F161" i="1"/>
  <c r="E161" i="1"/>
  <c r="D161" i="1"/>
  <c r="C161" i="1"/>
  <c r="B161" i="1"/>
  <c r="A161" i="1"/>
  <c r="L160" i="1"/>
  <c r="K160" i="1"/>
  <c r="J160" i="1"/>
  <c r="I160" i="1"/>
  <c r="H160" i="1"/>
  <c r="F160" i="1"/>
  <c r="E160" i="1"/>
  <c r="D160" i="1"/>
  <c r="C160" i="1"/>
  <c r="B160" i="1"/>
  <c r="A160" i="1"/>
  <c r="L159" i="1"/>
  <c r="K159" i="1"/>
  <c r="J159" i="1"/>
  <c r="I159" i="1"/>
  <c r="H159" i="1"/>
  <c r="F159" i="1"/>
  <c r="E159" i="1"/>
  <c r="D159" i="1"/>
  <c r="C159" i="1"/>
  <c r="B159" i="1"/>
  <c r="A159" i="1"/>
  <c r="L158" i="1"/>
  <c r="K158" i="1"/>
  <c r="J158" i="1"/>
  <c r="I158" i="1"/>
  <c r="H158" i="1"/>
  <c r="F158" i="1"/>
  <c r="E158" i="1"/>
  <c r="D158" i="1"/>
  <c r="C158" i="1"/>
  <c r="B158" i="1"/>
  <c r="A158" i="1"/>
  <c r="L157" i="1"/>
  <c r="K157" i="1"/>
  <c r="J157" i="1"/>
  <c r="I157" i="1"/>
  <c r="H157" i="1"/>
  <c r="F157" i="1"/>
  <c r="E157" i="1"/>
  <c r="D157" i="1"/>
  <c r="C157" i="1"/>
  <c r="B157" i="1"/>
  <c r="A157" i="1"/>
  <c r="L156" i="1"/>
  <c r="K156" i="1"/>
  <c r="J156" i="1"/>
  <c r="I156" i="1"/>
  <c r="H156" i="1"/>
  <c r="F156" i="1"/>
  <c r="E156" i="1"/>
  <c r="D156" i="1"/>
  <c r="C156" i="1"/>
  <c r="B156" i="1"/>
  <c r="A156" i="1"/>
  <c r="L155" i="1"/>
  <c r="K155" i="1"/>
  <c r="J155" i="1"/>
  <c r="I155" i="1"/>
  <c r="H155" i="1"/>
  <c r="F155" i="1"/>
  <c r="E155" i="1"/>
  <c r="D155" i="1"/>
  <c r="C155" i="1"/>
  <c r="B155" i="1"/>
  <c r="A155" i="1"/>
  <c r="L154" i="1"/>
  <c r="K154" i="1"/>
  <c r="J154" i="1"/>
  <c r="I154" i="1"/>
  <c r="H154" i="1"/>
  <c r="F154" i="1"/>
  <c r="E154" i="1"/>
  <c r="D154" i="1"/>
  <c r="C154" i="1"/>
  <c r="B154" i="1"/>
  <c r="A154" i="1"/>
  <c r="L153" i="1"/>
  <c r="K153" i="1"/>
  <c r="J153" i="1"/>
  <c r="I153" i="1"/>
  <c r="H153" i="1"/>
  <c r="F153" i="1"/>
  <c r="E153" i="1"/>
  <c r="D153" i="1"/>
  <c r="C153" i="1"/>
  <c r="B153" i="1"/>
  <c r="A153" i="1"/>
  <c r="L152" i="1"/>
  <c r="K152" i="1"/>
  <c r="J152" i="1"/>
  <c r="I152" i="1"/>
  <c r="H152" i="1"/>
  <c r="F152" i="1"/>
  <c r="E152" i="1"/>
  <c r="D152" i="1"/>
  <c r="C152" i="1"/>
  <c r="B152" i="1"/>
  <c r="A152" i="1"/>
  <c r="L151" i="1"/>
  <c r="K151" i="1"/>
  <c r="J151" i="1"/>
  <c r="I151" i="1"/>
  <c r="H151" i="1"/>
  <c r="F151" i="1"/>
  <c r="E151" i="1"/>
  <c r="D151" i="1"/>
  <c r="C151" i="1"/>
  <c r="B151" i="1"/>
  <c r="A151" i="1"/>
  <c r="L150" i="1"/>
  <c r="K150" i="1"/>
  <c r="J150" i="1"/>
  <c r="I150" i="1"/>
  <c r="H150" i="1"/>
  <c r="F150" i="1"/>
  <c r="E150" i="1"/>
  <c r="D150" i="1"/>
  <c r="C150" i="1"/>
  <c r="B150" i="1"/>
  <c r="A150" i="1"/>
  <c r="L149" i="1"/>
  <c r="K149" i="1"/>
  <c r="J149" i="1"/>
  <c r="I149" i="1"/>
  <c r="H149" i="1"/>
  <c r="F149" i="1"/>
  <c r="E149" i="1"/>
  <c r="D149" i="1"/>
  <c r="C149" i="1"/>
  <c r="B149" i="1"/>
  <c r="A149" i="1"/>
  <c r="L148" i="1"/>
  <c r="K148" i="1"/>
  <c r="J148" i="1"/>
  <c r="I148" i="1"/>
  <c r="H148" i="1"/>
  <c r="F148" i="1"/>
  <c r="E148" i="1"/>
  <c r="D148" i="1"/>
  <c r="C148" i="1"/>
  <c r="B148" i="1"/>
  <c r="A148" i="1"/>
  <c r="L147" i="1"/>
  <c r="K147" i="1"/>
  <c r="J147" i="1"/>
  <c r="I147" i="1"/>
  <c r="H147" i="1"/>
  <c r="F147" i="1"/>
  <c r="E147" i="1"/>
  <c r="D147" i="1"/>
  <c r="C147" i="1"/>
  <c r="B147" i="1"/>
  <c r="A147" i="1"/>
  <c r="L146" i="1"/>
  <c r="K146" i="1"/>
  <c r="J146" i="1"/>
  <c r="I146" i="1"/>
  <c r="H146" i="1"/>
  <c r="F146" i="1"/>
  <c r="E146" i="1"/>
  <c r="D146" i="1"/>
  <c r="C146" i="1"/>
  <c r="B146" i="1"/>
  <c r="A146" i="1"/>
  <c r="L145" i="1"/>
  <c r="K145" i="1"/>
  <c r="J145" i="1"/>
  <c r="I145" i="1"/>
  <c r="H145" i="1"/>
  <c r="F145" i="1"/>
  <c r="E145" i="1"/>
  <c r="D145" i="1"/>
  <c r="C145" i="1"/>
  <c r="B145" i="1"/>
  <c r="A145" i="1"/>
  <c r="L144" i="1"/>
  <c r="K144" i="1"/>
  <c r="J144" i="1"/>
  <c r="I144" i="1"/>
  <c r="H144" i="1"/>
  <c r="F144" i="1"/>
  <c r="E144" i="1"/>
  <c r="D144" i="1"/>
  <c r="C144" i="1"/>
  <c r="B144" i="1"/>
  <c r="A144" i="1"/>
  <c r="L143" i="1"/>
  <c r="K143" i="1"/>
  <c r="J143" i="1"/>
  <c r="I143" i="1"/>
  <c r="H143" i="1"/>
  <c r="F143" i="1"/>
  <c r="E143" i="1"/>
  <c r="D143" i="1"/>
  <c r="C143" i="1"/>
  <c r="B143" i="1"/>
  <c r="A143" i="1"/>
  <c r="L142" i="1"/>
  <c r="K142" i="1"/>
  <c r="J142" i="1"/>
  <c r="I142" i="1"/>
  <c r="H142" i="1"/>
  <c r="F142" i="1"/>
  <c r="E142" i="1"/>
  <c r="D142" i="1"/>
  <c r="C142" i="1"/>
  <c r="B142" i="1"/>
  <c r="A142" i="1"/>
  <c r="L141" i="1"/>
  <c r="K141" i="1"/>
  <c r="J141" i="1"/>
  <c r="I141" i="1"/>
  <c r="H141" i="1"/>
  <c r="F141" i="1"/>
  <c r="E141" i="1"/>
  <c r="D141" i="1"/>
  <c r="C141" i="1"/>
  <c r="B141" i="1"/>
  <c r="A141" i="1"/>
  <c r="L140" i="1"/>
  <c r="K140" i="1"/>
  <c r="J140" i="1"/>
  <c r="I140" i="1"/>
  <c r="H140" i="1"/>
  <c r="F140" i="1"/>
  <c r="E140" i="1"/>
  <c r="D140" i="1"/>
  <c r="C140" i="1"/>
  <c r="B140" i="1"/>
  <c r="A140" i="1"/>
  <c r="L139" i="1"/>
  <c r="K139" i="1"/>
  <c r="J139" i="1"/>
  <c r="I139" i="1"/>
  <c r="H139" i="1"/>
  <c r="F139" i="1"/>
  <c r="E139" i="1"/>
  <c r="D139" i="1"/>
  <c r="C139" i="1"/>
  <c r="B139" i="1"/>
  <c r="A139" i="1"/>
  <c r="L138" i="1"/>
  <c r="K138" i="1"/>
  <c r="J138" i="1"/>
  <c r="I138" i="1"/>
  <c r="H138" i="1"/>
  <c r="F138" i="1"/>
  <c r="E138" i="1"/>
  <c r="D138" i="1"/>
  <c r="C138" i="1"/>
  <c r="B138" i="1"/>
  <c r="A138" i="1"/>
  <c r="L137" i="1"/>
  <c r="K137" i="1"/>
  <c r="J137" i="1"/>
  <c r="I137" i="1"/>
  <c r="H137" i="1"/>
  <c r="F137" i="1"/>
  <c r="E137" i="1"/>
  <c r="D137" i="1"/>
  <c r="C137" i="1"/>
  <c r="B137" i="1"/>
  <c r="A137" i="1"/>
  <c r="L136" i="1"/>
  <c r="K136" i="1"/>
  <c r="J136" i="1"/>
  <c r="I136" i="1"/>
  <c r="H136" i="1"/>
  <c r="F136" i="1"/>
  <c r="E136" i="1"/>
  <c r="D136" i="1"/>
  <c r="C136" i="1"/>
  <c r="B136" i="1"/>
  <c r="A136" i="1"/>
  <c r="L135" i="1"/>
  <c r="K135" i="1"/>
  <c r="J135" i="1"/>
  <c r="I135" i="1"/>
  <c r="H135" i="1"/>
  <c r="F135" i="1"/>
  <c r="E135" i="1"/>
  <c r="D135" i="1"/>
  <c r="C135" i="1"/>
  <c r="B135" i="1"/>
  <c r="A135" i="1"/>
  <c r="L134" i="1"/>
  <c r="K134" i="1"/>
  <c r="J134" i="1"/>
  <c r="I134" i="1"/>
  <c r="H134" i="1"/>
  <c r="F134" i="1"/>
  <c r="E134" i="1"/>
  <c r="D134" i="1"/>
  <c r="C134" i="1"/>
  <c r="B134" i="1"/>
  <c r="A134" i="1"/>
  <c r="L133" i="1"/>
  <c r="K133" i="1"/>
  <c r="J133" i="1"/>
  <c r="I133" i="1"/>
  <c r="H133" i="1"/>
  <c r="F133" i="1"/>
  <c r="E133" i="1"/>
  <c r="D133" i="1"/>
  <c r="C133" i="1"/>
  <c r="B133" i="1"/>
  <c r="A133" i="1"/>
  <c r="L132" i="1"/>
  <c r="K132" i="1"/>
  <c r="J132" i="1"/>
  <c r="I132" i="1"/>
  <c r="H132" i="1"/>
  <c r="F132" i="1"/>
  <c r="E132" i="1"/>
  <c r="D132" i="1"/>
  <c r="C132" i="1"/>
  <c r="B132" i="1"/>
  <c r="A132" i="1"/>
  <c r="L131" i="1"/>
  <c r="K131" i="1"/>
  <c r="J131" i="1"/>
  <c r="I131" i="1"/>
  <c r="H131" i="1"/>
  <c r="F131" i="1"/>
  <c r="E131" i="1"/>
  <c r="D131" i="1"/>
  <c r="C131" i="1"/>
  <c r="B131" i="1"/>
  <c r="A131" i="1"/>
  <c r="L130" i="1"/>
  <c r="K130" i="1"/>
  <c r="J130" i="1"/>
  <c r="I130" i="1"/>
  <c r="H130" i="1"/>
  <c r="F130" i="1"/>
  <c r="E130" i="1"/>
  <c r="D130" i="1"/>
  <c r="C130" i="1"/>
  <c r="B130" i="1"/>
  <c r="A130" i="1"/>
  <c r="L129" i="1"/>
  <c r="K129" i="1"/>
  <c r="J129" i="1"/>
  <c r="I129" i="1"/>
  <c r="H129" i="1"/>
  <c r="F129" i="1"/>
  <c r="E129" i="1"/>
  <c r="D129" i="1"/>
  <c r="C129" i="1"/>
  <c r="B129" i="1"/>
  <c r="A129" i="1"/>
  <c r="L128" i="1"/>
  <c r="K128" i="1"/>
  <c r="J128" i="1"/>
  <c r="I128" i="1"/>
  <c r="H128" i="1"/>
  <c r="F128" i="1"/>
  <c r="E128" i="1"/>
  <c r="D128" i="1"/>
  <c r="C128" i="1"/>
  <c r="B128" i="1"/>
  <c r="A128" i="1"/>
  <c r="L127" i="1"/>
  <c r="K127" i="1"/>
  <c r="J127" i="1"/>
  <c r="I127" i="1"/>
  <c r="H127" i="1"/>
  <c r="F127" i="1"/>
  <c r="E127" i="1"/>
  <c r="D127" i="1"/>
  <c r="C127" i="1"/>
  <c r="B127" i="1"/>
  <c r="A127" i="1"/>
  <c r="L126" i="1"/>
  <c r="K126" i="1"/>
  <c r="J126" i="1"/>
  <c r="I126" i="1"/>
  <c r="H126" i="1"/>
  <c r="F126" i="1"/>
  <c r="E126" i="1"/>
  <c r="D126" i="1"/>
  <c r="C126" i="1"/>
  <c r="B126" i="1"/>
  <c r="A126" i="1"/>
  <c r="L125" i="1"/>
  <c r="K125" i="1"/>
  <c r="J125" i="1"/>
  <c r="I125" i="1"/>
  <c r="H125" i="1"/>
  <c r="F125" i="1"/>
  <c r="E125" i="1"/>
  <c r="D125" i="1"/>
  <c r="C125" i="1"/>
  <c r="B125" i="1"/>
  <c r="A125" i="1"/>
  <c r="L124" i="1"/>
  <c r="K124" i="1"/>
  <c r="J124" i="1"/>
  <c r="I124" i="1"/>
  <c r="H124" i="1"/>
  <c r="F124" i="1"/>
  <c r="E124" i="1"/>
  <c r="D124" i="1"/>
  <c r="C124" i="1"/>
  <c r="B124" i="1"/>
  <c r="A124" i="1"/>
  <c r="L123" i="1"/>
  <c r="K123" i="1"/>
  <c r="J123" i="1"/>
  <c r="I123" i="1"/>
  <c r="H123" i="1"/>
  <c r="F123" i="1"/>
  <c r="E123" i="1"/>
  <c r="D123" i="1"/>
  <c r="C123" i="1"/>
  <c r="B123" i="1"/>
  <c r="A123" i="1"/>
  <c r="L122" i="1"/>
  <c r="K122" i="1"/>
  <c r="J122" i="1"/>
  <c r="I122" i="1"/>
  <c r="H122" i="1"/>
  <c r="F122" i="1"/>
  <c r="E122" i="1"/>
  <c r="D122" i="1"/>
  <c r="C122" i="1"/>
  <c r="B122" i="1"/>
  <c r="A122" i="1"/>
  <c r="L121" i="1"/>
  <c r="K121" i="1"/>
  <c r="J121" i="1"/>
  <c r="I121" i="1"/>
  <c r="H121" i="1"/>
  <c r="F121" i="1"/>
  <c r="E121" i="1"/>
  <c r="D121" i="1"/>
  <c r="C121" i="1"/>
  <c r="B121" i="1"/>
  <c r="A121" i="1"/>
  <c r="L120" i="1"/>
  <c r="K120" i="1"/>
  <c r="J120" i="1"/>
  <c r="I120" i="1"/>
  <c r="H120" i="1"/>
  <c r="F120" i="1"/>
  <c r="E120" i="1"/>
  <c r="D120" i="1"/>
  <c r="C120" i="1"/>
  <c r="B120" i="1"/>
  <c r="A120" i="1"/>
  <c r="L119" i="1"/>
  <c r="K119" i="1"/>
  <c r="J119" i="1"/>
  <c r="I119" i="1"/>
  <c r="H119" i="1"/>
  <c r="F119" i="1"/>
  <c r="E119" i="1"/>
  <c r="D119" i="1"/>
  <c r="C119" i="1"/>
  <c r="B119" i="1"/>
  <c r="A119" i="1"/>
  <c r="L118" i="1"/>
  <c r="K118" i="1"/>
  <c r="J118" i="1"/>
  <c r="I118" i="1"/>
  <c r="H118" i="1"/>
  <c r="F118" i="1"/>
  <c r="E118" i="1"/>
  <c r="D118" i="1"/>
  <c r="C118" i="1"/>
  <c r="B118" i="1"/>
  <c r="A118" i="1"/>
  <c r="L117" i="1"/>
  <c r="K117" i="1"/>
  <c r="J117" i="1"/>
  <c r="I117" i="1"/>
  <c r="H117" i="1"/>
  <c r="F117" i="1"/>
  <c r="E117" i="1"/>
  <c r="D117" i="1"/>
  <c r="C117" i="1"/>
  <c r="B117" i="1"/>
  <c r="A117" i="1"/>
  <c r="L116" i="1"/>
  <c r="K116" i="1"/>
  <c r="J116" i="1"/>
  <c r="I116" i="1"/>
  <c r="H116" i="1"/>
  <c r="F116" i="1"/>
  <c r="E116" i="1"/>
  <c r="D116" i="1"/>
  <c r="C116" i="1"/>
  <c r="B116" i="1"/>
  <c r="A116" i="1"/>
  <c r="L115" i="1"/>
  <c r="K115" i="1"/>
  <c r="J115" i="1"/>
  <c r="I115" i="1"/>
  <c r="H115" i="1"/>
  <c r="F115" i="1"/>
  <c r="E115" i="1"/>
  <c r="D115" i="1"/>
  <c r="C115" i="1"/>
  <c r="B115" i="1"/>
  <c r="A115" i="1"/>
  <c r="L114" i="1"/>
  <c r="K114" i="1"/>
  <c r="J114" i="1"/>
  <c r="I114" i="1"/>
  <c r="H114" i="1"/>
  <c r="F114" i="1"/>
  <c r="E114" i="1"/>
  <c r="D114" i="1"/>
  <c r="C114" i="1"/>
  <c r="B114" i="1"/>
  <c r="A114" i="1"/>
  <c r="L113" i="1"/>
  <c r="K113" i="1"/>
  <c r="J113" i="1"/>
  <c r="I113" i="1"/>
  <c r="H113" i="1"/>
  <c r="F113" i="1"/>
  <c r="E113" i="1"/>
  <c r="D113" i="1"/>
  <c r="C113" i="1"/>
  <c r="B113" i="1"/>
  <c r="A113" i="1"/>
  <c r="L112" i="1"/>
  <c r="K112" i="1"/>
  <c r="J112" i="1"/>
  <c r="I112" i="1"/>
  <c r="H112" i="1"/>
  <c r="F112" i="1"/>
  <c r="E112" i="1"/>
  <c r="D112" i="1"/>
  <c r="C112" i="1"/>
  <c r="B112" i="1"/>
  <c r="A112" i="1"/>
  <c r="L111" i="1"/>
  <c r="K111" i="1"/>
  <c r="J111" i="1"/>
  <c r="I111" i="1"/>
  <c r="H111" i="1"/>
  <c r="F111" i="1"/>
  <c r="E111" i="1"/>
  <c r="D111" i="1"/>
  <c r="C111" i="1"/>
  <c r="B111" i="1"/>
  <c r="A111" i="1"/>
  <c r="L110" i="1"/>
  <c r="K110" i="1"/>
  <c r="J110" i="1"/>
  <c r="I110" i="1"/>
  <c r="H110" i="1"/>
  <c r="F110" i="1"/>
  <c r="E110" i="1"/>
  <c r="D110" i="1"/>
  <c r="C110" i="1"/>
  <c r="B110" i="1"/>
  <c r="A110" i="1"/>
  <c r="L109" i="1"/>
  <c r="K109" i="1"/>
  <c r="J109" i="1"/>
  <c r="I109" i="1"/>
  <c r="H109" i="1"/>
  <c r="F109" i="1"/>
  <c r="E109" i="1"/>
  <c r="D109" i="1"/>
  <c r="C109" i="1"/>
  <c r="B109" i="1"/>
  <c r="A109" i="1"/>
  <c r="L108" i="1"/>
  <c r="K108" i="1"/>
  <c r="J108" i="1"/>
  <c r="I108" i="1"/>
  <c r="H108" i="1"/>
  <c r="F108" i="1"/>
  <c r="E108" i="1"/>
  <c r="D108" i="1"/>
  <c r="C108" i="1"/>
  <c r="B108" i="1"/>
  <c r="A108" i="1"/>
  <c r="L107" i="1"/>
  <c r="K107" i="1"/>
  <c r="J107" i="1"/>
  <c r="I107" i="1"/>
  <c r="H107" i="1"/>
  <c r="F107" i="1"/>
  <c r="E107" i="1"/>
  <c r="D107" i="1"/>
  <c r="C107" i="1"/>
  <c r="B107" i="1"/>
  <c r="A107" i="1"/>
  <c r="L106" i="1"/>
  <c r="K106" i="1"/>
  <c r="J106" i="1"/>
  <c r="I106" i="1"/>
  <c r="H106" i="1"/>
  <c r="F106" i="1"/>
  <c r="E106" i="1"/>
  <c r="D106" i="1"/>
  <c r="C106" i="1"/>
  <c r="B106" i="1"/>
  <c r="A106" i="1"/>
  <c r="L105" i="1"/>
  <c r="K105" i="1"/>
  <c r="J105" i="1"/>
  <c r="I105" i="1"/>
  <c r="H105" i="1"/>
  <c r="F105" i="1"/>
  <c r="E105" i="1"/>
  <c r="D105" i="1"/>
  <c r="C105" i="1"/>
  <c r="B105" i="1"/>
  <c r="A105" i="1"/>
  <c r="L104" i="1"/>
  <c r="K104" i="1"/>
  <c r="J104" i="1"/>
  <c r="I104" i="1"/>
  <c r="H104" i="1"/>
  <c r="F104" i="1"/>
  <c r="E104" i="1"/>
  <c r="D104" i="1"/>
  <c r="C104" i="1"/>
  <c r="B104" i="1"/>
  <c r="A104" i="1"/>
  <c r="L103" i="1"/>
  <c r="K103" i="1"/>
  <c r="J103" i="1"/>
  <c r="I103" i="1"/>
  <c r="H103" i="1"/>
  <c r="F103" i="1"/>
  <c r="E103" i="1"/>
  <c r="D103" i="1"/>
  <c r="C103" i="1"/>
  <c r="B103" i="1"/>
  <c r="A103" i="1"/>
  <c r="L102" i="1"/>
  <c r="K102" i="1"/>
  <c r="J102" i="1"/>
  <c r="I102" i="1"/>
  <c r="H102" i="1"/>
  <c r="F102" i="1"/>
  <c r="E102" i="1"/>
  <c r="D102" i="1"/>
  <c r="C102" i="1"/>
  <c r="B102" i="1"/>
  <c r="A102" i="1"/>
  <c r="L101" i="1"/>
  <c r="K101" i="1"/>
  <c r="J101" i="1"/>
  <c r="I101" i="1"/>
  <c r="H101" i="1"/>
  <c r="F101" i="1"/>
  <c r="E101" i="1"/>
  <c r="D101" i="1"/>
  <c r="C101" i="1"/>
  <c r="B101" i="1"/>
  <c r="A101" i="1"/>
  <c r="L100" i="1"/>
  <c r="K100" i="1"/>
  <c r="J100" i="1"/>
  <c r="I100" i="1"/>
  <c r="H100" i="1"/>
  <c r="F100" i="1"/>
  <c r="E100" i="1"/>
  <c r="D100" i="1"/>
  <c r="C100" i="1"/>
  <c r="B100" i="1"/>
  <c r="A100" i="1"/>
  <c r="L99" i="1"/>
  <c r="K99" i="1"/>
  <c r="J99" i="1"/>
  <c r="I99" i="1"/>
  <c r="H99" i="1"/>
  <c r="F99" i="1"/>
  <c r="E99" i="1"/>
  <c r="D99" i="1"/>
  <c r="C99" i="1"/>
  <c r="B99" i="1"/>
  <c r="A99" i="1"/>
  <c r="L98" i="1"/>
  <c r="K98" i="1"/>
  <c r="J98" i="1"/>
  <c r="I98" i="1"/>
  <c r="H98" i="1"/>
  <c r="F98" i="1"/>
  <c r="E98" i="1"/>
  <c r="D98" i="1"/>
  <c r="C98" i="1"/>
  <c r="B98" i="1"/>
  <c r="A98" i="1"/>
  <c r="L97" i="1"/>
  <c r="K97" i="1"/>
  <c r="J97" i="1"/>
  <c r="I97" i="1"/>
  <c r="H97" i="1"/>
  <c r="F97" i="1"/>
  <c r="E97" i="1"/>
  <c r="D97" i="1"/>
  <c r="C97" i="1"/>
  <c r="B97" i="1"/>
  <c r="A97" i="1"/>
  <c r="L96" i="1"/>
  <c r="K96" i="1"/>
  <c r="J96" i="1"/>
  <c r="I96" i="1"/>
  <c r="H96" i="1"/>
  <c r="F96" i="1"/>
  <c r="E96" i="1"/>
  <c r="D96" i="1"/>
  <c r="C96" i="1"/>
  <c r="B96" i="1"/>
  <c r="A96" i="1"/>
  <c r="L95" i="1"/>
  <c r="K95" i="1"/>
  <c r="J95" i="1"/>
  <c r="I95" i="1"/>
  <c r="H95" i="1"/>
  <c r="F95" i="1"/>
  <c r="E95" i="1"/>
  <c r="D95" i="1"/>
  <c r="C95" i="1"/>
  <c r="B95" i="1"/>
  <c r="A95" i="1"/>
  <c r="L94" i="1"/>
  <c r="K94" i="1"/>
  <c r="J94" i="1"/>
  <c r="I94" i="1"/>
  <c r="H94" i="1"/>
  <c r="F94" i="1"/>
  <c r="E94" i="1"/>
  <c r="D94" i="1"/>
  <c r="C94" i="1"/>
  <c r="B94" i="1"/>
  <c r="A94" i="1"/>
  <c r="L93" i="1"/>
  <c r="K93" i="1"/>
  <c r="J93" i="1"/>
  <c r="I93" i="1"/>
  <c r="H93" i="1"/>
  <c r="F93" i="1"/>
  <c r="E93" i="1"/>
  <c r="D93" i="1"/>
  <c r="C93" i="1"/>
  <c r="B93" i="1"/>
  <c r="A93" i="1"/>
  <c r="L92" i="1"/>
  <c r="K92" i="1"/>
  <c r="J92" i="1"/>
  <c r="I92" i="1"/>
  <c r="H92" i="1"/>
  <c r="F92" i="1"/>
  <c r="E92" i="1"/>
  <c r="D92" i="1"/>
  <c r="C92" i="1"/>
  <c r="B92" i="1"/>
  <c r="A92" i="1"/>
  <c r="L91" i="1"/>
  <c r="K91" i="1"/>
  <c r="J91" i="1"/>
  <c r="I91" i="1"/>
  <c r="H91" i="1"/>
  <c r="F91" i="1"/>
  <c r="E91" i="1"/>
  <c r="D91" i="1"/>
  <c r="C91" i="1"/>
  <c r="B91" i="1"/>
  <c r="A91" i="1"/>
  <c r="L90" i="1"/>
  <c r="K90" i="1"/>
  <c r="J90" i="1"/>
  <c r="I90" i="1"/>
  <c r="H90" i="1"/>
  <c r="F90" i="1"/>
  <c r="E90" i="1"/>
  <c r="D90" i="1"/>
  <c r="C90" i="1"/>
  <c r="B90" i="1"/>
  <c r="A90" i="1"/>
  <c r="L89" i="1"/>
  <c r="K89" i="1"/>
  <c r="J89" i="1"/>
  <c r="I89" i="1"/>
  <c r="H89" i="1"/>
  <c r="F89" i="1"/>
  <c r="E89" i="1"/>
  <c r="D89" i="1"/>
  <c r="C89" i="1"/>
  <c r="B89" i="1"/>
  <c r="A89" i="1"/>
  <c r="L88" i="1"/>
  <c r="K88" i="1"/>
  <c r="J88" i="1"/>
  <c r="I88" i="1"/>
  <c r="H88" i="1"/>
  <c r="F88" i="1"/>
  <c r="E88" i="1"/>
  <c r="D88" i="1"/>
  <c r="C88" i="1"/>
  <c r="B88" i="1"/>
  <c r="A88" i="1"/>
  <c r="L87" i="1"/>
  <c r="K87" i="1"/>
  <c r="J87" i="1"/>
  <c r="I87" i="1"/>
  <c r="H87" i="1"/>
  <c r="F87" i="1"/>
  <c r="E87" i="1"/>
  <c r="D87" i="1"/>
  <c r="C87" i="1"/>
  <c r="B87" i="1"/>
  <c r="A87" i="1"/>
  <c r="L86" i="1"/>
  <c r="K86" i="1"/>
  <c r="J86" i="1"/>
  <c r="I86" i="1"/>
  <c r="H86" i="1"/>
  <c r="F86" i="1"/>
  <c r="E86" i="1"/>
  <c r="D86" i="1"/>
  <c r="C86" i="1"/>
  <c r="B86" i="1"/>
  <c r="A86" i="1"/>
  <c r="L85" i="1"/>
  <c r="K85" i="1"/>
  <c r="J85" i="1"/>
  <c r="I85" i="1"/>
  <c r="H85" i="1"/>
  <c r="F85" i="1"/>
  <c r="E85" i="1"/>
  <c r="D85" i="1"/>
  <c r="C85" i="1"/>
  <c r="B85" i="1"/>
  <c r="A85" i="1"/>
  <c r="L84" i="1"/>
  <c r="K84" i="1"/>
  <c r="J84" i="1"/>
  <c r="I84" i="1"/>
  <c r="H84" i="1"/>
  <c r="F84" i="1"/>
  <c r="E84" i="1"/>
  <c r="D84" i="1"/>
  <c r="C84" i="1"/>
  <c r="B84" i="1"/>
  <c r="A84" i="1"/>
  <c r="L83" i="1"/>
  <c r="K83" i="1"/>
  <c r="J83" i="1"/>
  <c r="I83" i="1"/>
  <c r="H83" i="1"/>
  <c r="F83" i="1"/>
  <c r="E83" i="1"/>
  <c r="D83" i="1"/>
  <c r="C83" i="1"/>
  <c r="B83" i="1"/>
  <c r="A83" i="1"/>
  <c r="L82" i="1"/>
  <c r="K82" i="1"/>
  <c r="J82" i="1"/>
  <c r="I82" i="1"/>
  <c r="H82" i="1"/>
  <c r="F82" i="1"/>
  <c r="E82" i="1"/>
  <c r="D82" i="1"/>
  <c r="C82" i="1"/>
  <c r="B82" i="1"/>
  <c r="A82" i="1"/>
  <c r="L81" i="1"/>
  <c r="K81" i="1"/>
  <c r="J81" i="1"/>
  <c r="I81" i="1"/>
  <c r="H81" i="1"/>
  <c r="F81" i="1"/>
  <c r="E81" i="1"/>
  <c r="D81" i="1"/>
  <c r="C81" i="1"/>
  <c r="B81" i="1"/>
  <c r="A81" i="1"/>
  <c r="L80" i="1"/>
  <c r="K80" i="1"/>
  <c r="J80" i="1"/>
  <c r="I80" i="1"/>
  <c r="H80" i="1"/>
  <c r="F80" i="1"/>
  <c r="E80" i="1"/>
  <c r="D80" i="1"/>
  <c r="C80" i="1"/>
  <c r="B80" i="1"/>
  <c r="A80" i="1"/>
  <c r="L79" i="1"/>
  <c r="K79" i="1"/>
  <c r="J79" i="1"/>
  <c r="I79" i="1"/>
  <c r="H79" i="1"/>
  <c r="F79" i="1"/>
  <c r="E79" i="1"/>
  <c r="D79" i="1"/>
  <c r="C79" i="1"/>
  <c r="B79" i="1"/>
  <c r="A79" i="1"/>
  <c r="L78" i="1"/>
  <c r="K78" i="1"/>
  <c r="J78" i="1"/>
  <c r="I78" i="1"/>
  <c r="H78" i="1"/>
  <c r="F78" i="1"/>
  <c r="E78" i="1"/>
  <c r="D78" i="1"/>
  <c r="C78" i="1"/>
  <c r="B78" i="1"/>
  <c r="A78" i="1"/>
  <c r="L77" i="1"/>
  <c r="K77" i="1"/>
  <c r="J77" i="1"/>
  <c r="I77" i="1"/>
  <c r="H77" i="1"/>
  <c r="F77" i="1"/>
  <c r="E77" i="1"/>
  <c r="D77" i="1"/>
  <c r="C77" i="1"/>
  <c r="B77" i="1"/>
  <c r="A77" i="1"/>
  <c r="L76" i="1"/>
  <c r="K76" i="1"/>
  <c r="J76" i="1"/>
  <c r="I76" i="1"/>
  <c r="H76" i="1"/>
  <c r="F76" i="1"/>
  <c r="E76" i="1"/>
  <c r="D76" i="1"/>
  <c r="C76" i="1"/>
  <c r="B76" i="1"/>
  <c r="A76" i="1"/>
  <c r="L75" i="1"/>
  <c r="K75" i="1"/>
  <c r="J75" i="1"/>
  <c r="I75" i="1"/>
  <c r="H75" i="1"/>
  <c r="F75" i="1"/>
  <c r="E75" i="1"/>
  <c r="D75" i="1"/>
  <c r="C75" i="1"/>
  <c r="B75" i="1"/>
  <c r="A75" i="1"/>
  <c r="L74" i="1"/>
  <c r="K74" i="1"/>
  <c r="J74" i="1"/>
  <c r="I74" i="1"/>
  <c r="H74" i="1"/>
  <c r="F74" i="1"/>
  <c r="E74" i="1"/>
  <c r="D74" i="1"/>
  <c r="C74" i="1"/>
  <c r="B74" i="1"/>
  <c r="A74" i="1"/>
  <c r="L73" i="1"/>
  <c r="K73" i="1"/>
  <c r="J73" i="1"/>
  <c r="I73" i="1"/>
  <c r="H73" i="1"/>
  <c r="F73" i="1"/>
  <c r="E73" i="1"/>
  <c r="D73" i="1"/>
  <c r="C73" i="1"/>
  <c r="B73" i="1"/>
  <c r="A73" i="1"/>
  <c r="L72" i="1"/>
  <c r="K72" i="1"/>
  <c r="J72" i="1"/>
  <c r="I72" i="1"/>
  <c r="H72" i="1"/>
  <c r="F72" i="1"/>
  <c r="E72" i="1"/>
  <c r="D72" i="1"/>
  <c r="C72" i="1"/>
  <c r="B72" i="1"/>
  <c r="A72" i="1"/>
  <c r="L71" i="1"/>
  <c r="K71" i="1"/>
  <c r="J71" i="1"/>
  <c r="I71" i="1"/>
  <c r="H71" i="1"/>
  <c r="F71" i="1"/>
  <c r="E71" i="1"/>
  <c r="D71" i="1"/>
  <c r="C71" i="1"/>
  <c r="B71" i="1"/>
  <c r="A71" i="1"/>
  <c r="L70" i="1"/>
  <c r="K70" i="1"/>
  <c r="J70" i="1"/>
  <c r="I70" i="1"/>
  <c r="H70" i="1"/>
  <c r="F70" i="1"/>
  <c r="E70" i="1"/>
  <c r="D70" i="1"/>
  <c r="C70" i="1"/>
  <c r="B70" i="1"/>
  <c r="A70" i="1"/>
  <c r="L69" i="1"/>
  <c r="K69" i="1"/>
  <c r="J69" i="1"/>
  <c r="I69" i="1"/>
  <c r="H69" i="1"/>
  <c r="F69" i="1"/>
  <c r="E69" i="1"/>
  <c r="D69" i="1"/>
  <c r="C69" i="1"/>
  <c r="B69" i="1"/>
  <c r="A69" i="1"/>
  <c r="L68" i="1"/>
  <c r="K68" i="1"/>
  <c r="J68" i="1"/>
  <c r="I68" i="1"/>
  <c r="H68" i="1"/>
  <c r="F68" i="1"/>
  <c r="E68" i="1"/>
  <c r="D68" i="1"/>
  <c r="C68" i="1"/>
  <c r="B68" i="1"/>
  <c r="A68" i="1"/>
  <c r="L67" i="1"/>
  <c r="K67" i="1"/>
  <c r="J67" i="1"/>
  <c r="I67" i="1"/>
  <c r="H67" i="1"/>
  <c r="F67" i="1"/>
  <c r="E67" i="1"/>
  <c r="D67" i="1"/>
  <c r="C67" i="1"/>
  <c r="B67" i="1"/>
  <c r="A67" i="1"/>
  <c r="L66" i="1"/>
  <c r="K66" i="1"/>
  <c r="J66" i="1"/>
  <c r="I66" i="1"/>
  <c r="H66" i="1"/>
  <c r="F66" i="1"/>
  <c r="E66" i="1"/>
  <c r="D66" i="1"/>
  <c r="C66" i="1"/>
  <c r="B66" i="1"/>
  <c r="A66" i="1"/>
  <c r="L65" i="1"/>
  <c r="K65" i="1"/>
  <c r="J65" i="1"/>
  <c r="I65" i="1"/>
  <c r="H65" i="1"/>
  <c r="F65" i="1"/>
  <c r="E65" i="1"/>
  <c r="D65" i="1"/>
  <c r="C65" i="1"/>
  <c r="B65" i="1"/>
  <c r="A65" i="1"/>
  <c r="L64" i="1"/>
  <c r="K64" i="1"/>
  <c r="J64" i="1"/>
  <c r="I64" i="1"/>
  <c r="H64" i="1"/>
  <c r="F64" i="1"/>
  <c r="E64" i="1"/>
  <c r="D64" i="1"/>
  <c r="C64" i="1"/>
  <c r="B64" i="1"/>
  <c r="A64" i="1"/>
  <c r="L63" i="1"/>
  <c r="K63" i="1"/>
  <c r="J63" i="1"/>
  <c r="I63" i="1"/>
  <c r="H63" i="1"/>
  <c r="F63" i="1"/>
  <c r="E63" i="1"/>
  <c r="D63" i="1"/>
  <c r="C63" i="1"/>
  <c r="B63" i="1"/>
  <c r="A63" i="1"/>
  <c r="L62" i="1"/>
  <c r="K62" i="1"/>
  <c r="J62" i="1"/>
  <c r="I62" i="1"/>
  <c r="H62" i="1"/>
  <c r="F62" i="1"/>
  <c r="E62" i="1"/>
  <c r="D62" i="1"/>
  <c r="C62" i="1"/>
  <c r="B62" i="1"/>
  <c r="A62" i="1"/>
  <c r="L61" i="1"/>
  <c r="K61" i="1"/>
  <c r="J61" i="1"/>
  <c r="I61" i="1"/>
  <c r="H61" i="1"/>
  <c r="F61" i="1"/>
  <c r="E61" i="1"/>
  <c r="D61" i="1"/>
  <c r="C61" i="1"/>
  <c r="B61" i="1"/>
  <c r="A61" i="1"/>
  <c r="L60" i="1"/>
  <c r="K60" i="1"/>
  <c r="J60" i="1"/>
  <c r="I60" i="1"/>
  <c r="H60" i="1"/>
  <c r="F60" i="1"/>
  <c r="E60" i="1"/>
  <c r="D60" i="1"/>
  <c r="C60" i="1"/>
  <c r="B60" i="1"/>
  <c r="A60" i="1"/>
  <c r="L59" i="1"/>
  <c r="K59" i="1"/>
  <c r="J59" i="1"/>
  <c r="I59" i="1"/>
  <c r="H59" i="1"/>
  <c r="F59" i="1"/>
  <c r="E59" i="1"/>
  <c r="D59" i="1"/>
  <c r="C59" i="1"/>
  <c r="B59" i="1"/>
  <c r="A59" i="1"/>
  <c r="L58" i="1"/>
  <c r="K58" i="1"/>
  <c r="J58" i="1"/>
  <c r="I58" i="1"/>
  <c r="H58" i="1"/>
  <c r="F58" i="1"/>
  <c r="E58" i="1"/>
  <c r="D58" i="1"/>
  <c r="C58" i="1"/>
  <c r="B58" i="1"/>
  <c r="A58" i="1"/>
  <c r="L57" i="1"/>
  <c r="K57" i="1"/>
  <c r="J57" i="1"/>
  <c r="I57" i="1"/>
  <c r="H57" i="1"/>
  <c r="F57" i="1"/>
  <c r="E57" i="1"/>
  <c r="D57" i="1"/>
  <c r="C57" i="1"/>
  <c r="B57" i="1"/>
  <c r="A57" i="1"/>
  <c r="L56" i="1"/>
  <c r="K56" i="1"/>
  <c r="J56" i="1"/>
  <c r="I56" i="1"/>
  <c r="H56" i="1"/>
  <c r="F56" i="1"/>
  <c r="E56" i="1"/>
  <c r="D56" i="1"/>
  <c r="C56" i="1"/>
  <c r="B56" i="1"/>
  <c r="A56" i="1"/>
  <c r="L55" i="1"/>
  <c r="K55" i="1"/>
  <c r="J55" i="1"/>
  <c r="I55" i="1"/>
  <c r="H55" i="1"/>
  <c r="F55" i="1"/>
  <c r="E55" i="1"/>
  <c r="D55" i="1"/>
  <c r="C55" i="1"/>
  <c r="B55" i="1"/>
  <c r="A55" i="1"/>
  <c r="L54" i="1"/>
  <c r="K54" i="1"/>
  <c r="J54" i="1"/>
  <c r="I54" i="1"/>
  <c r="H54" i="1"/>
  <c r="F54" i="1"/>
  <c r="E54" i="1"/>
  <c r="D54" i="1"/>
  <c r="C54" i="1"/>
  <c r="B54" i="1"/>
  <c r="A54" i="1"/>
  <c r="L53" i="1"/>
  <c r="K53" i="1"/>
  <c r="J53" i="1"/>
  <c r="I53" i="1"/>
  <c r="H53" i="1"/>
  <c r="F53" i="1"/>
  <c r="E53" i="1"/>
  <c r="D53" i="1"/>
  <c r="C53" i="1"/>
  <c r="B53" i="1"/>
  <c r="A53" i="1"/>
  <c r="L52" i="1"/>
  <c r="K52" i="1"/>
  <c r="J52" i="1"/>
  <c r="I52" i="1"/>
  <c r="H52" i="1"/>
  <c r="F52" i="1"/>
  <c r="E52" i="1"/>
  <c r="D52" i="1"/>
  <c r="C52" i="1"/>
  <c r="B52" i="1"/>
  <c r="A52" i="1"/>
  <c r="L51" i="1"/>
  <c r="K51" i="1"/>
  <c r="J51" i="1"/>
  <c r="I51" i="1"/>
  <c r="H51" i="1"/>
  <c r="F51" i="1"/>
  <c r="E51" i="1"/>
  <c r="D51" i="1"/>
  <c r="C51" i="1"/>
  <c r="B51" i="1"/>
  <c r="A51" i="1"/>
  <c r="L50" i="1"/>
  <c r="K50" i="1"/>
  <c r="J50" i="1"/>
  <c r="I50" i="1"/>
  <c r="H50" i="1"/>
  <c r="F50" i="1"/>
  <c r="E50" i="1"/>
  <c r="D50" i="1"/>
  <c r="C50" i="1"/>
  <c r="B50" i="1"/>
  <c r="A50" i="1"/>
  <c r="L49" i="1"/>
  <c r="K49" i="1"/>
  <c r="J49" i="1"/>
  <c r="I49" i="1"/>
  <c r="H49" i="1"/>
  <c r="F49" i="1"/>
  <c r="E49" i="1"/>
  <c r="D49" i="1"/>
  <c r="C49" i="1"/>
  <c r="B49" i="1"/>
  <c r="A49" i="1"/>
  <c r="L48" i="1"/>
  <c r="K48" i="1"/>
  <c r="J48" i="1"/>
  <c r="I48" i="1"/>
  <c r="H48" i="1"/>
  <c r="F48" i="1"/>
  <c r="E48" i="1"/>
  <c r="D48" i="1"/>
  <c r="C48" i="1"/>
  <c r="B48" i="1"/>
  <c r="A48" i="1"/>
  <c r="L47" i="1"/>
  <c r="K47" i="1"/>
  <c r="J47" i="1"/>
  <c r="I47" i="1"/>
  <c r="H47" i="1"/>
  <c r="F47" i="1"/>
  <c r="E47" i="1"/>
  <c r="D47" i="1"/>
  <c r="C47" i="1"/>
  <c r="B47" i="1"/>
  <c r="A47" i="1"/>
  <c r="L46" i="1"/>
  <c r="K46" i="1"/>
  <c r="J46" i="1"/>
  <c r="I46" i="1"/>
  <c r="H46" i="1"/>
  <c r="F46" i="1"/>
  <c r="E46" i="1"/>
  <c r="D46" i="1"/>
  <c r="C46" i="1"/>
  <c r="B46" i="1"/>
  <c r="A46" i="1"/>
  <c r="L45" i="1"/>
  <c r="K45" i="1"/>
  <c r="J45" i="1"/>
  <c r="I45" i="1"/>
  <c r="H45" i="1"/>
  <c r="F45" i="1"/>
  <c r="E45" i="1"/>
  <c r="D45" i="1"/>
  <c r="C45" i="1"/>
  <c r="B45" i="1"/>
  <c r="A45" i="1"/>
  <c r="L44" i="1"/>
  <c r="K44" i="1"/>
  <c r="J44" i="1"/>
  <c r="I44" i="1"/>
  <c r="H44" i="1"/>
  <c r="F44" i="1"/>
  <c r="E44" i="1"/>
  <c r="D44" i="1"/>
  <c r="C44" i="1"/>
  <c r="B44" i="1"/>
  <c r="A44" i="1"/>
  <c r="L43" i="1"/>
  <c r="K43" i="1"/>
  <c r="J43" i="1"/>
  <c r="I43" i="1"/>
  <c r="H43" i="1"/>
  <c r="F43" i="1"/>
  <c r="E43" i="1"/>
  <c r="D43" i="1"/>
  <c r="C43" i="1"/>
  <c r="B43" i="1"/>
  <c r="A43" i="1"/>
  <c r="L42" i="1"/>
  <c r="K42" i="1"/>
  <c r="J42" i="1"/>
  <c r="I42" i="1"/>
  <c r="H42" i="1"/>
  <c r="F42" i="1"/>
  <c r="E42" i="1"/>
  <c r="D42" i="1"/>
  <c r="C42" i="1"/>
  <c r="B42" i="1"/>
  <c r="A42" i="1"/>
  <c r="L41" i="1"/>
  <c r="K41" i="1"/>
  <c r="J41" i="1"/>
  <c r="I41" i="1"/>
  <c r="H41" i="1"/>
  <c r="F41" i="1"/>
  <c r="E41" i="1"/>
  <c r="D41" i="1"/>
  <c r="C41" i="1"/>
  <c r="B41" i="1"/>
  <c r="A41" i="1"/>
  <c r="L40" i="1"/>
  <c r="K40" i="1"/>
  <c r="J40" i="1"/>
  <c r="I40" i="1"/>
  <c r="H40" i="1"/>
  <c r="F40" i="1"/>
  <c r="E40" i="1"/>
  <c r="D40" i="1"/>
  <c r="C40" i="1"/>
  <c r="B40" i="1"/>
  <c r="A40" i="1"/>
  <c r="L39" i="1"/>
  <c r="K39" i="1"/>
  <c r="J39" i="1"/>
  <c r="I39" i="1"/>
  <c r="H39" i="1"/>
  <c r="F39" i="1"/>
  <c r="E39" i="1"/>
  <c r="D39" i="1"/>
  <c r="C39" i="1"/>
  <c r="B39" i="1"/>
  <c r="A39" i="1"/>
  <c r="L38" i="1"/>
  <c r="K38" i="1"/>
  <c r="J38" i="1"/>
  <c r="I38" i="1"/>
  <c r="H38" i="1"/>
  <c r="F38" i="1"/>
  <c r="E38" i="1"/>
  <c r="D38" i="1"/>
  <c r="C38" i="1"/>
  <c r="B38" i="1"/>
  <c r="A38" i="1"/>
  <c r="L37" i="1"/>
  <c r="K37" i="1"/>
  <c r="J37" i="1"/>
  <c r="I37" i="1"/>
  <c r="H37" i="1"/>
  <c r="F37" i="1"/>
  <c r="E37" i="1"/>
  <c r="D37" i="1"/>
  <c r="C37" i="1"/>
  <c r="B37" i="1"/>
  <c r="A37" i="1"/>
  <c r="L36" i="1"/>
  <c r="K36" i="1"/>
  <c r="J36" i="1"/>
  <c r="I36" i="1"/>
  <c r="H36" i="1"/>
  <c r="F36" i="1"/>
  <c r="E36" i="1"/>
  <c r="D36" i="1"/>
  <c r="C36" i="1"/>
  <c r="B36" i="1"/>
  <c r="A36" i="1"/>
  <c r="L35" i="1"/>
  <c r="K35" i="1"/>
  <c r="J35" i="1"/>
  <c r="I35" i="1"/>
  <c r="H35" i="1"/>
  <c r="F35" i="1"/>
  <c r="E35" i="1"/>
  <c r="D35" i="1"/>
  <c r="C35" i="1"/>
  <c r="B35" i="1"/>
  <c r="A35" i="1"/>
  <c r="L34" i="1"/>
  <c r="K34" i="1"/>
  <c r="J34" i="1"/>
  <c r="I34" i="1"/>
  <c r="H34" i="1"/>
  <c r="F34" i="1"/>
  <c r="E34" i="1"/>
  <c r="D34" i="1"/>
  <c r="C34" i="1"/>
  <c r="B34" i="1"/>
  <c r="A34" i="1"/>
  <c r="L33" i="1"/>
  <c r="K33" i="1"/>
  <c r="J33" i="1"/>
  <c r="I33" i="1"/>
  <c r="H33" i="1"/>
  <c r="F33" i="1"/>
  <c r="E33" i="1"/>
  <c r="D33" i="1"/>
  <c r="C33" i="1"/>
  <c r="B33" i="1"/>
  <c r="A33" i="1"/>
  <c r="L32" i="1"/>
  <c r="K32" i="1"/>
  <c r="J32" i="1"/>
  <c r="I32" i="1"/>
  <c r="H32" i="1"/>
  <c r="F32" i="1"/>
  <c r="E32" i="1"/>
  <c r="D32" i="1"/>
  <c r="C32" i="1"/>
  <c r="B32" i="1"/>
  <c r="A32" i="1"/>
  <c r="L31" i="1"/>
  <c r="K31" i="1"/>
  <c r="J31" i="1"/>
  <c r="I31" i="1"/>
  <c r="H31" i="1"/>
  <c r="F31" i="1"/>
  <c r="E31" i="1"/>
  <c r="D31" i="1"/>
  <c r="C31" i="1"/>
  <c r="B31" i="1"/>
  <c r="A31" i="1"/>
  <c r="L30" i="1"/>
  <c r="K30" i="1"/>
  <c r="J30" i="1"/>
  <c r="I30" i="1"/>
  <c r="H30" i="1"/>
  <c r="F30" i="1"/>
  <c r="E30" i="1"/>
  <c r="D30" i="1"/>
  <c r="C30" i="1"/>
  <c r="B30" i="1"/>
  <c r="A30" i="1"/>
  <c r="L29" i="1"/>
  <c r="K29" i="1"/>
  <c r="J29" i="1"/>
  <c r="I29" i="1"/>
  <c r="H29" i="1"/>
  <c r="F29" i="1"/>
  <c r="E29" i="1"/>
  <c r="D29" i="1"/>
  <c r="C29" i="1"/>
  <c r="B29" i="1"/>
  <c r="A29" i="1"/>
  <c r="L28" i="1"/>
  <c r="K28" i="1"/>
  <c r="J28" i="1"/>
  <c r="I28" i="1"/>
  <c r="H28" i="1"/>
  <c r="F28" i="1"/>
  <c r="E28" i="1"/>
  <c r="D28" i="1"/>
  <c r="C28" i="1"/>
  <c r="B28" i="1"/>
  <c r="A28" i="1"/>
  <c r="L27" i="1"/>
  <c r="K27" i="1"/>
  <c r="J27" i="1"/>
  <c r="I27" i="1"/>
  <c r="H27" i="1"/>
  <c r="F27" i="1"/>
  <c r="E27" i="1"/>
  <c r="D27" i="1"/>
  <c r="C27" i="1"/>
  <c r="B27" i="1"/>
  <c r="A27" i="1"/>
  <c r="L26" i="1"/>
  <c r="K26" i="1"/>
  <c r="J26" i="1"/>
  <c r="I26" i="1"/>
  <c r="H26" i="1"/>
  <c r="F26" i="1"/>
  <c r="E26" i="1"/>
  <c r="D26" i="1"/>
  <c r="C26" i="1"/>
  <c r="B26" i="1"/>
  <c r="A26" i="1"/>
  <c r="L25" i="1"/>
  <c r="K25" i="1"/>
  <c r="J25" i="1"/>
  <c r="I25" i="1"/>
  <c r="H25" i="1"/>
  <c r="F25" i="1"/>
  <c r="E25" i="1"/>
  <c r="D25" i="1"/>
  <c r="C25" i="1"/>
  <c r="B25" i="1"/>
  <c r="A25" i="1"/>
  <c r="L24" i="1"/>
  <c r="K24" i="1"/>
  <c r="J24" i="1"/>
  <c r="I24" i="1"/>
  <c r="H24" i="1"/>
  <c r="F24" i="1"/>
  <c r="E24" i="1"/>
  <c r="D24" i="1"/>
  <c r="C24" i="1"/>
  <c r="B24" i="1"/>
  <c r="A24" i="1"/>
  <c r="L23" i="1"/>
  <c r="K23" i="1"/>
  <c r="J23" i="1"/>
  <c r="I23" i="1"/>
  <c r="H23" i="1"/>
  <c r="F23" i="1"/>
  <c r="E23" i="1"/>
  <c r="D23" i="1"/>
  <c r="C23" i="1"/>
  <c r="B23" i="1"/>
  <c r="A23" i="1"/>
  <c r="L22" i="1"/>
  <c r="K22" i="1"/>
  <c r="J22" i="1"/>
  <c r="I22" i="1"/>
  <c r="H22" i="1"/>
  <c r="F22" i="1"/>
  <c r="E22" i="1"/>
  <c r="D22" i="1"/>
  <c r="C22" i="1"/>
  <c r="B22" i="1"/>
  <c r="A22" i="1"/>
  <c r="L21" i="1"/>
  <c r="K21" i="1"/>
  <c r="J21" i="1"/>
  <c r="I21" i="1"/>
  <c r="H21" i="1"/>
  <c r="F21" i="1"/>
  <c r="E21" i="1"/>
  <c r="D21" i="1"/>
  <c r="C21" i="1"/>
  <c r="B21" i="1"/>
  <c r="A21" i="1"/>
  <c r="L20" i="1"/>
  <c r="K20" i="1"/>
  <c r="J20" i="1"/>
  <c r="I20" i="1"/>
  <c r="H20" i="1"/>
  <c r="F20" i="1"/>
  <c r="E20" i="1"/>
  <c r="D20" i="1"/>
  <c r="C20" i="1"/>
  <c r="B20" i="1"/>
  <c r="A20" i="1"/>
  <c r="L19" i="1"/>
  <c r="K19" i="1"/>
  <c r="J19" i="1"/>
  <c r="I19" i="1"/>
  <c r="H19" i="1"/>
  <c r="F19" i="1"/>
  <c r="E19" i="1"/>
  <c r="D19" i="1"/>
  <c r="C19" i="1"/>
  <c r="B19" i="1"/>
  <c r="A19" i="1"/>
  <c r="L18" i="1"/>
  <c r="K18" i="1"/>
  <c r="J18" i="1"/>
  <c r="I18" i="1"/>
  <c r="H18" i="1"/>
  <c r="F18" i="1"/>
  <c r="E18" i="1"/>
  <c r="D18" i="1"/>
  <c r="C18" i="1"/>
  <c r="B18" i="1"/>
  <c r="A18" i="1"/>
  <c r="L17" i="1"/>
  <c r="K17" i="1"/>
  <c r="J17" i="1"/>
  <c r="I17" i="1"/>
  <c r="H17" i="1"/>
  <c r="F17" i="1"/>
  <c r="E17" i="1"/>
  <c r="D17" i="1"/>
  <c r="C17" i="1"/>
  <c r="B17" i="1"/>
  <c r="A17" i="1"/>
  <c r="L16" i="1"/>
  <c r="K16" i="1"/>
  <c r="J16" i="1"/>
  <c r="I16" i="1"/>
  <c r="H16" i="1"/>
  <c r="F16" i="1"/>
  <c r="E16" i="1"/>
  <c r="D16" i="1"/>
  <c r="C16" i="1"/>
  <c r="B16" i="1"/>
  <c r="A16" i="1"/>
  <c r="L15" i="1"/>
  <c r="K15" i="1"/>
  <c r="J15" i="1"/>
  <c r="I15" i="1"/>
  <c r="H15" i="1"/>
  <c r="F15" i="1"/>
  <c r="E15" i="1"/>
  <c r="D15" i="1"/>
  <c r="C15" i="1"/>
  <c r="B15" i="1"/>
  <c r="A15" i="1"/>
  <c r="L14" i="1"/>
  <c r="K14" i="1"/>
  <c r="J14" i="1"/>
  <c r="I14" i="1"/>
  <c r="H14" i="1"/>
  <c r="F14" i="1"/>
  <c r="E14" i="1"/>
  <c r="D14" i="1"/>
  <c r="C14" i="1"/>
  <c r="B14" i="1"/>
  <c r="A14" i="1"/>
  <c r="L13" i="1"/>
  <c r="K13" i="1"/>
  <c r="J13" i="1"/>
  <c r="I13" i="1"/>
  <c r="H13" i="1"/>
  <c r="F13" i="1"/>
  <c r="E13" i="1"/>
  <c r="D13" i="1"/>
  <c r="C13" i="1"/>
  <c r="B13" i="1"/>
  <c r="A13" i="1"/>
  <c r="L12" i="1"/>
  <c r="K12" i="1"/>
  <c r="J12" i="1"/>
  <c r="I12" i="1"/>
  <c r="H12" i="1"/>
  <c r="F12" i="1"/>
  <c r="E12" i="1"/>
  <c r="D12" i="1"/>
  <c r="C12" i="1"/>
  <c r="B12" i="1"/>
  <c r="A12" i="1"/>
  <c r="L11" i="1"/>
  <c r="K11" i="1"/>
  <c r="J11" i="1"/>
  <c r="I11" i="1"/>
  <c r="H11" i="1"/>
  <c r="F11" i="1"/>
  <c r="E11" i="1"/>
  <c r="D11" i="1"/>
  <c r="C11" i="1"/>
  <c r="B11" i="1"/>
  <c r="A11" i="1"/>
  <c r="L10" i="1"/>
  <c r="K10" i="1"/>
  <c r="J10" i="1"/>
  <c r="I10" i="1"/>
  <c r="H10" i="1"/>
  <c r="F10" i="1"/>
  <c r="E10" i="1"/>
  <c r="D10" i="1"/>
  <c r="C10" i="1"/>
  <c r="B10" i="1"/>
  <c r="A10" i="1"/>
  <c r="L9" i="1"/>
  <c r="K9" i="1"/>
  <c r="J9" i="1"/>
  <c r="I9" i="1"/>
  <c r="H9" i="1"/>
  <c r="F9" i="1"/>
  <c r="E9" i="1"/>
  <c r="D9" i="1"/>
  <c r="C9" i="1"/>
  <c r="B9" i="1"/>
  <c r="A9" i="1"/>
  <c r="L8" i="1"/>
  <c r="K8" i="1"/>
  <c r="J8" i="1"/>
  <c r="I8" i="1"/>
  <c r="H8" i="1"/>
  <c r="F8" i="1"/>
  <c r="E8" i="1"/>
  <c r="D8" i="1"/>
  <c r="C8" i="1"/>
  <c r="B8" i="1"/>
  <c r="A8" i="1"/>
  <c r="L7" i="1"/>
  <c r="K7" i="1"/>
  <c r="J7" i="1"/>
  <c r="I7" i="1"/>
  <c r="H7" i="1"/>
  <c r="F7" i="1"/>
  <c r="E7" i="1"/>
  <c r="D7" i="1"/>
  <c r="C7" i="1"/>
  <c r="B7" i="1"/>
  <c r="A7" i="1"/>
  <c r="L6" i="1"/>
  <c r="K6" i="1"/>
  <c r="J6" i="1"/>
  <c r="I6" i="1"/>
  <c r="H6" i="1"/>
  <c r="F6" i="1"/>
  <c r="E6" i="1"/>
  <c r="D6" i="1"/>
  <c r="C6" i="1"/>
  <c r="B6" i="1"/>
  <c r="A6" i="1"/>
  <c r="L5" i="1"/>
  <c r="K5" i="1"/>
  <c r="J5" i="1"/>
  <c r="I5" i="1"/>
  <c r="H5" i="1"/>
  <c r="F5" i="1"/>
  <c r="E5" i="1"/>
  <c r="D5" i="1"/>
  <c r="C5" i="1"/>
  <c r="B5" i="1"/>
  <c r="A5" i="1"/>
  <c r="L4" i="1"/>
  <c r="K4" i="1"/>
  <c r="J4" i="1"/>
  <c r="I4" i="1"/>
  <c r="H4" i="1"/>
  <c r="F4" i="1"/>
  <c r="E4" i="1"/>
  <c r="D4" i="1"/>
  <c r="C4" i="1"/>
  <c r="B4" i="1"/>
  <c r="A4" i="1"/>
  <c r="L3" i="1"/>
  <c r="K3" i="1"/>
  <c r="J3" i="1"/>
  <c r="I3" i="1"/>
  <c r="H3" i="1"/>
  <c r="F3" i="1"/>
  <c r="E3" i="1"/>
  <c r="D3" i="1"/>
  <c r="C3" i="1"/>
  <c r="B3" i="1"/>
  <c r="A3" i="1"/>
  <c r="L2" i="1"/>
  <c r="J2" i="1"/>
  <c r="I2" i="1"/>
  <c r="H2" i="1"/>
  <c r="F2" i="1"/>
  <c r="E2" i="1"/>
  <c r="D2" i="1"/>
  <c r="C2" i="1"/>
  <c r="B2" i="1"/>
  <c r="A2" i="1"/>
</calcChain>
</file>

<file path=xl/sharedStrings.xml><?xml version="1.0" encoding="utf-8"?>
<sst xmlns="http://schemas.openxmlformats.org/spreadsheetml/2006/main" count="4167" uniqueCount="587">
  <si>
    <t>卖场代码</t>
  </si>
  <si>
    <t>店仓.支社.支社名称</t>
  </si>
  <si>
    <t>卖场</t>
  </si>
  <si>
    <t>年份</t>
  </si>
  <si>
    <t>季节</t>
  </si>
  <si>
    <t>类别</t>
  </si>
  <si>
    <t>初次入库时间.日期</t>
  </si>
  <si>
    <t>款号</t>
  </si>
  <si>
    <t>条码.颜色</t>
  </si>
  <si>
    <t>条码.尺寸</t>
  </si>
  <si>
    <t>条码</t>
  </si>
  <si>
    <t>吊牌价</t>
  </si>
  <si>
    <t>可配数量</t>
  </si>
  <si>
    <t>可配标准金额</t>
  </si>
  <si>
    <t>库存数量</t>
  </si>
  <si>
    <t>库存标准金额</t>
  </si>
  <si>
    <t>在单数量</t>
  </si>
  <si>
    <t>在单标准金额</t>
  </si>
  <si>
    <t>在途数量</t>
  </si>
  <si>
    <t>在途标准金额</t>
  </si>
  <si>
    <t>预计数量</t>
  </si>
  <si>
    <t>预计标准金额</t>
  </si>
  <si>
    <t>初次入库数量</t>
  </si>
  <si>
    <t>店仓地区.支社名称</t>
  </si>
  <si>
    <t>店仓.卖场代码</t>
  </si>
  <si>
    <t>店仓.卖场名称</t>
  </si>
  <si>
    <t>款号.款号</t>
  </si>
  <si>
    <t>条码.条码</t>
  </si>
  <si>
    <t>款号.吊牌价</t>
  </si>
  <si>
    <t>单据日期.日期</t>
  </si>
  <si>
    <t>商品品牌</t>
  </si>
  <si>
    <t>数量</t>
  </si>
  <si>
    <t>实际成交金额</t>
  </si>
  <si>
    <t>渠道</t>
  </si>
  <si>
    <t>支社</t>
  </si>
  <si>
    <t>代码</t>
  </si>
  <si>
    <t>卖场名称</t>
  </si>
  <si>
    <t>卖场等级</t>
  </si>
  <si>
    <t>F2
还原销售</t>
  </si>
  <si>
    <t>百货店/代售</t>
  </si>
  <si>
    <t>北京支社</t>
  </si>
  <si>
    <t>CH66</t>
  </si>
  <si>
    <t>PR 北京汉光</t>
  </si>
  <si>
    <t>SA</t>
  </si>
  <si>
    <t>CJGW</t>
  </si>
  <si>
    <t>PR 廊坊万达百货</t>
  </si>
  <si>
    <t>C</t>
  </si>
  <si>
    <t>CJQ9</t>
  </si>
  <si>
    <t>PR 北京石景山万达百货</t>
  </si>
  <si>
    <t>D</t>
  </si>
  <si>
    <t>CKQ8</t>
  </si>
  <si>
    <t>PR 北京物美京北大世界</t>
  </si>
  <si>
    <t>C3R2</t>
  </si>
  <si>
    <t>PR 北京君太</t>
  </si>
  <si>
    <t>A</t>
  </si>
  <si>
    <t>C95A</t>
  </si>
  <si>
    <t>PR 呼和浩特万达百货</t>
  </si>
  <si>
    <t>B</t>
  </si>
  <si>
    <t>购物中心</t>
  </si>
  <si>
    <t>川南支社</t>
  </si>
  <si>
    <t>CMLE</t>
  </si>
  <si>
    <t>PR 遂宁万象汇</t>
  </si>
  <si>
    <t>C69P</t>
  </si>
  <si>
    <t>PR 遂宁新都</t>
  </si>
  <si>
    <t>C6N0</t>
  </si>
  <si>
    <t>PR 南充商都</t>
  </si>
  <si>
    <t>C5W0</t>
  </si>
  <si>
    <t>PR 昆明美晨</t>
  </si>
  <si>
    <t>CCOO</t>
  </si>
  <si>
    <t>PR 昆明金鹰护国店</t>
  </si>
  <si>
    <t>C55Y</t>
  </si>
  <si>
    <t>PR 昆明百货</t>
  </si>
  <si>
    <t>CLC5</t>
  </si>
  <si>
    <t>PR 昆明南亚第一城1</t>
  </si>
  <si>
    <t>CMHX</t>
  </si>
  <si>
    <t>PR 昆明柏联百盛</t>
  </si>
  <si>
    <t>C6DW</t>
  </si>
  <si>
    <t>PR 昆明王府井</t>
  </si>
  <si>
    <t>CM4U</t>
  </si>
  <si>
    <t>PR 宜宾丽雅百货</t>
  </si>
  <si>
    <t>CKYK</t>
  </si>
  <si>
    <t>PR 宜宾叙府</t>
  </si>
  <si>
    <t>CM33</t>
  </si>
  <si>
    <t>PR 绵阳梅西SPM</t>
  </si>
  <si>
    <t>CEKX</t>
  </si>
  <si>
    <t>PR 绵阳百盛大都会</t>
  </si>
  <si>
    <t>C8OU</t>
  </si>
  <si>
    <t>PR 绵阳新世界</t>
  </si>
  <si>
    <t>CHZE</t>
  </si>
  <si>
    <t>PR 德阳洋洋百盛</t>
  </si>
  <si>
    <t>CKSB</t>
  </si>
  <si>
    <t>PR 绵阳茂业</t>
  </si>
  <si>
    <t>CHBJ</t>
  </si>
  <si>
    <t>PR 泸州步步高</t>
  </si>
  <si>
    <t>CCS8</t>
  </si>
  <si>
    <t>PR 泸州重百商场</t>
  </si>
  <si>
    <t>CEVH</t>
  </si>
  <si>
    <t>PR 泸州汇通</t>
  </si>
  <si>
    <t>CM08</t>
  </si>
  <si>
    <t>PR 泸州万象汇</t>
  </si>
  <si>
    <t>川西支社</t>
  </si>
  <si>
    <t>C3WS</t>
  </si>
  <si>
    <t>PR 成都时尚百盛</t>
  </si>
  <si>
    <t>C6D4</t>
  </si>
  <si>
    <t>PR 成都茂业</t>
  </si>
  <si>
    <t>CLLA</t>
  </si>
  <si>
    <t>PR 成都龙湖金楠天街1</t>
  </si>
  <si>
    <t>CLSF</t>
  </si>
  <si>
    <t>PR 成都城西优品道1</t>
  </si>
  <si>
    <t>CC1H</t>
  </si>
  <si>
    <t>PR 成都伊藤温江店</t>
  </si>
  <si>
    <t>C3PM</t>
  </si>
  <si>
    <t>PR 成都王府井</t>
  </si>
  <si>
    <t>CKZS</t>
  </si>
  <si>
    <t>PR 成都西单商场1</t>
  </si>
  <si>
    <t>C400</t>
  </si>
  <si>
    <t>PR 成都伊藤双楠</t>
  </si>
  <si>
    <t>CN1W</t>
  </si>
  <si>
    <t>PR 都江堰幸福广场百货</t>
  </si>
  <si>
    <t>CHRU</t>
  </si>
  <si>
    <t>PR 自贡百盛</t>
  </si>
  <si>
    <t>C6JR</t>
  </si>
  <si>
    <t>PR 成都建设伊藤</t>
  </si>
  <si>
    <t>CLBL</t>
  </si>
  <si>
    <t>PR 成都金牛凯德1</t>
  </si>
  <si>
    <t>C540</t>
  </si>
  <si>
    <t>PR 成都伊藤锦华</t>
  </si>
  <si>
    <t>CLEO</t>
  </si>
  <si>
    <t>PR 成都环贸ICD1</t>
  </si>
  <si>
    <t>CLOD</t>
  </si>
  <si>
    <t>PR 成都天府和悦1</t>
  </si>
  <si>
    <t>CM1R</t>
  </si>
  <si>
    <t>PR 成都凯德天府</t>
  </si>
  <si>
    <t>CM7Y</t>
  </si>
  <si>
    <t>PR 成都世茂广场</t>
  </si>
  <si>
    <t>C8M2</t>
  </si>
  <si>
    <t>PR 成都伊藤高新店</t>
  </si>
  <si>
    <t>CMO7</t>
  </si>
  <si>
    <t>PR 成都新世纪环球购物中心</t>
  </si>
  <si>
    <t>东北支社</t>
  </si>
  <si>
    <t>C3NP</t>
  </si>
  <si>
    <t>PR 哈尔滨新一百</t>
  </si>
  <si>
    <t>CLVT</t>
  </si>
  <si>
    <t>PR 哈尔滨凯德广场学府店</t>
  </si>
  <si>
    <t>C8UV</t>
  </si>
  <si>
    <t>PR长春欧亚商都（红旗街店）</t>
  </si>
  <si>
    <t>CMJS</t>
  </si>
  <si>
    <t>PR 长春欧亚卖场</t>
  </si>
  <si>
    <t>C4TF</t>
  </si>
  <si>
    <t>PR 延吉百货大楼</t>
  </si>
  <si>
    <t>CAYP</t>
  </si>
  <si>
    <t>PR 沈阳百盛</t>
  </si>
  <si>
    <t>CAYR</t>
  </si>
  <si>
    <t>PR 沈阳中兴</t>
  </si>
  <si>
    <t>东南支社</t>
  </si>
  <si>
    <t>CGS9</t>
  </si>
  <si>
    <t>PR 厦门SM百货</t>
  </si>
  <si>
    <t>CCJ6</t>
  </si>
  <si>
    <t>PR 厦门思明来雅</t>
  </si>
  <si>
    <t>C6B5</t>
  </si>
  <si>
    <t>PR 南昌天虹红谷店</t>
  </si>
  <si>
    <t>CMKZ</t>
  </si>
  <si>
    <t>PR 南昌武商Mall南昌</t>
  </si>
  <si>
    <t>河南支社</t>
  </si>
  <si>
    <t>C8GN</t>
  </si>
  <si>
    <t>PR 郑州丹尼斯CBD</t>
  </si>
  <si>
    <t>C4LS</t>
  </si>
  <si>
    <t>PR 郑州丹尼斯花园店</t>
  </si>
  <si>
    <t>CKFF</t>
  </si>
  <si>
    <t>PR 郑州丹尼斯大卫城</t>
  </si>
  <si>
    <t>CN1B</t>
  </si>
  <si>
    <t>PR平顶山双丰</t>
  </si>
  <si>
    <t>CML3</t>
  </si>
  <si>
    <t>PR 南阳大统百货</t>
  </si>
  <si>
    <t>华北支社</t>
  </si>
  <si>
    <t>CLBP</t>
  </si>
  <si>
    <t>PR 天津金元宝</t>
  </si>
  <si>
    <t>C62S</t>
  </si>
  <si>
    <t>PR 天津乐宾</t>
  </si>
  <si>
    <t>CAUD</t>
  </si>
  <si>
    <t>PR 沧州华北商厦</t>
  </si>
  <si>
    <t>C8DK</t>
  </si>
  <si>
    <t>PR 石家庄万达百货</t>
  </si>
  <si>
    <t>C4RB</t>
  </si>
  <si>
    <t>PR 石家庄新百</t>
  </si>
  <si>
    <t>CCZY</t>
  </si>
  <si>
    <t>PR 太原茂业新天地</t>
  </si>
  <si>
    <t>C6PB</t>
  </si>
  <si>
    <t>PR 太原铜锣湾</t>
  </si>
  <si>
    <t>华东支社</t>
  </si>
  <si>
    <t>C7BE</t>
  </si>
  <si>
    <t>PR 济南银座玉函店</t>
  </si>
  <si>
    <t>CGK2</t>
  </si>
  <si>
    <t>PR 徐州金鹰 徐州金鹰</t>
  </si>
  <si>
    <t>C42K</t>
  </si>
  <si>
    <t>PR 扬州金鹰</t>
  </si>
  <si>
    <t>C5AH</t>
  </si>
  <si>
    <t>PR 扬州金鹰国际二期</t>
  </si>
  <si>
    <t>C3SG</t>
  </si>
  <si>
    <t>PR 南京大洋</t>
  </si>
  <si>
    <t>C4CG</t>
  </si>
  <si>
    <t>PR 南京金鹰珠江店</t>
  </si>
  <si>
    <t>C3UM</t>
  </si>
  <si>
    <t>PR 南京中央商场</t>
  </si>
  <si>
    <t>CF2O</t>
  </si>
  <si>
    <t>PR 南京大洋江北店</t>
  </si>
  <si>
    <t>CLO9</t>
  </si>
  <si>
    <t>PR 南京新街口百货</t>
  </si>
  <si>
    <t>CML6</t>
  </si>
  <si>
    <t>PR 南京河西建邺万达广场</t>
  </si>
  <si>
    <t>CDF8</t>
  </si>
  <si>
    <t>PR 青岛佳世客合肥路店</t>
  </si>
  <si>
    <t>C6TL</t>
  </si>
  <si>
    <t>PR 青岛利群</t>
  </si>
  <si>
    <t>华南支社</t>
  </si>
  <si>
    <t>C840</t>
  </si>
  <si>
    <t>PR 广州广百百货</t>
  </si>
  <si>
    <t>CHSH</t>
  </si>
  <si>
    <t>PR 佛山兴华</t>
  </si>
  <si>
    <t>C4T3</t>
  </si>
  <si>
    <t>PR 广州天河城</t>
  </si>
  <si>
    <t>C6C5</t>
  </si>
  <si>
    <t>PR 深圳南山茂业</t>
  </si>
  <si>
    <t>CLX9</t>
  </si>
  <si>
    <t>PR 深圳KK TIME</t>
  </si>
  <si>
    <t>C554</t>
  </si>
  <si>
    <t>PR 深圳东门茂业</t>
  </si>
  <si>
    <t>CJWY</t>
  </si>
  <si>
    <t>PR 南宁梦之岛民族店</t>
  </si>
  <si>
    <t>CK23</t>
  </si>
  <si>
    <t>PR 南宁百货大楼</t>
  </si>
  <si>
    <t>CMDM</t>
  </si>
  <si>
    <t>PR南宁梦之岛水晶城</t>
  </si>
  <si>
    <t>C6O7</t>
  </si>
  <si>
    <t>PR 南宁柏联百盛</t>
  </si>
  <si>
    <t>C9OL</t>
  </si>
  <si>
    <t>PR 南宁百盛琅东店</t>
  </si>
  <si>
    <t>CJ54</t>
  </si>
  <si>
    <t>PR 深圳天虹</t>
  </si>
  <si>
    <t>CLWU</t>
  </si>
  <si>
    <t>PR 深圳KK ONE</t>
  </si>
  <si>
    <t>C3ZL</t>
  </si>
  <si>
    <t>PR 深圳华强茂业</t>
  </si>
  <si>
    <t>CMOX</t>
  </si>
  <si>
    <t>PR 深圳创业天虹</t>
  </si>
  <si>
    <t>华中支社</t>
  </si>
  <si>
    <t>CJEB</t>
  </si>
  <si>
    <t>PR 武汉21世纪购物中心</t>
  </si>
  <si>
    <t>CMKT</t>
  </si>
  <si>
    <t>PR 武汉万科未来中心</t>
  </si>
  <si>
    <t>CM68</t>
  </si>
  <si>
    <t>PR 武汉武商梦时代</t>
  </si>
  <si>
    <t>C6H0</t>
  </si>
  <si>
    <t>PR 武汉广场</t>
  </si>
  <si>
    <t>C3PG</t>
  </si>
  <si>
    <t>PR 武汉群光</t>
  </si>
  <si>
    <t>CLEG</t>
  </si>
  <si>
    <t>PR 岳阳步步高(NEW)</t>
  </si>
  <si>
    <t>CMCU</t>
  </si>
  <si>
    <t>PR 长沙星沙永旺梦乐城</t>
  </si>
  <si>
    <t>C3RN</t>
  </si>
  <si>
    <t>PR 长沙平和堂</t>
  </si>
  <si>
    <t>上海支社</t>
  </si>
  <si>
    <t>C43M</t>
  </si>
  <si>
    <t>PR 南通文峰</t>
  </si>
  <si>
    <t>C9ZA</t>
  </si>
  <si>
    <t>PR 上海巴黎春天五角场店</t>
  </si>
  <si>
    <t>C3JY</t>
  </si>
  <si>
    <t>PR 上海八佰伴</t>
  </si>
  <si>
    <t>CKFE</t>
  </si>
  <si>
    <t>PR 上海又一城</t>
  </si>
  <si>
    <t>CM84</t>
  </si>
  <si>
    <t>PR 上海汇金</t>
  </si>
  <si>
    <t>CME4</t>
  </si>
  <si>
    <t>PR 上海来福士</t>
  </si>
  <si>
    <t>西北支社</t>
  </si>
  <si>
    <t>CBBH</t>
  </si>
  <si>
    <t>PR 西安赛格国际购物中心</t>
  </si>
  <si>
    <t>CJWZ</t>
  </si>
  <si>
    <t>PR 汉中鼎鼎百货</t>
  </si>
  <si>
    <t>CKX4</t>
  </si>
  <si>
    <t>PR 延安百货大楼</t>
  </si>
  <si>
    <t>C5XN</t>
  </si>
  <si>
    <t>PR 西安开元</t>
  </si>
  <si>
    <t>CB6Z</t>
  </si>
  <si>
    <t>PR 西安开元西稍门店</t>
  </si>
  <si>
    <t>CM9V</t>
  </si>
  <si>
    <t>PR 宝鸡开元</t>
  </si>
  <si>
    <t>CMV4</t>
  </si>
  <si>
    <t>PR 西安华阳城</t>
  </si>
  <si>
    <t>CKGQ</t>
  </si>
  <si>
    <t>PR 兰州百盛</t>
  </si>
  <si>
    <t>CJ5T</t>
  </si>
  <si>
    <t>PR 兰州亚欧商厦</t>
  </si>
  <si>
    <t>C641</t>
  </si>
  <si>
    <t>PR 兰州王府井</t>
  </si>
  <si>
    <t>CJ5S</t>
  </si>
  <si>
    <t>PR 兰州西太华</t>
  </si>
  <si>
    <t>CJG8</t>
  </si>
  <si>
    <t>PR 兰州中心</t>
  </si>
  <si>
    <t>CH0P</t>
  </si>
  <si>
    <t>PR 西宁王府井</t>
  </si>
  <si>
    <t>浙江支社</t>
  </si>
  <si>
    <t>C484</t>
  </si>
  <si>
    <t>PR 湖州浙北</t>
  </si>
  <si>
    <t>CMFK</t>
  </si>
  <si>
    <t>PR 杭州银泰西湖文化广场</t>
  </si>
  <si>
    <t>CMK3</t>
  </si>
  <si>
    <t>PR 杭州武林银泰百货</t>
  </si>
  <si>
    <t>CMQU</t>
  </si>
  <si>
    <t>PR 淮南新世界</t>
  </si>
  <si>
    <t>CMNZ</t>
  </si>
  <si>
    <t>PR 合肥银泰政务店</t>
  </si>
  <si>
    <t>C9XR</t>
  </si>
  <si>
    <t>PR 合肥大洋</t>
  </si>
  <si>
    <t>CMVL</t>
  </si>
  <si>
    <t>PR马鞍山金鹰</t>
  </si>
  <si>
    <t>重庆支社</t>
  </si>
  <si>
    <t>CB8F</t>
  </si>
  <si>
    <t>PR 遵义百盛</t>
  </si>
  <si>
    <t>CM81</t>
  </si>
  <si>
    <t>PR 贵阳方圆荟海豚购物广场1</t>
  </si>
  <si>
    <t>C3VU</t>
  </si>
  <si>
    <t>PR 重庆世纪新都</t>
  </si>
  <si>
    <t>C749</t>
  </si>
  <si>
    <t>PR 重百沙坪坝　</t>
  </si>
  <si>
    <t>CA8K</t>
  </si>
  <si>
    <t>PR 重庆大坪商都</t>
  </si>
  <si>
    <t>CFQA</t>
  </si>
  <si>
    <t>PR 重庆江南商都</t>
  </si>
  <si>
    <t>CMM2</t>
  </si>
  <si>
    <t>PR 重庆星光时代广场</t>
  </si>
  <si>
    <t>CLU8</t>
  </si>
  <si>
    <t>PR 重庆瑞成商都1</t>
  </si>
  <si>
    <t>CMKD</t>
  </si>
  <si>
    <t>PR 重庆新世界</t>
  </si>
  <si>
    <t>CMTA</t>
  </si>
  <si>
    <t>PR 重庆光环花园城</t>
  </si>
  <si>
    <t>奥特莱斯</t>
  </si>
  <si>
    <t>CGZV</t>
  </si>
  <si>
    <t>PR 西安砂之船奥特莱斯</t>
  </si>
  <si>
    <t>OL</t>
  </si>
  <si>
    <t>CHF7</t>
  </si>
  <si>
    <t>PR 北京花乡奥莱村</t>
  </si>
  <si>
    <t>CKE6</t>
  </si>
  <si>
    <t>PR 扬州砂之船</t>
  </si>
  <si>
    <t>CCWJ</t>
  </si>
  <si>
    <t>PR 南京砂之船</t>
  </si>
  <si>
    <t>SKC</t>
  </si>
  <si>
    <t>SKU</t>
  </si>
  <si>
    <t>需分配数量</t>
  </si>
  <si>
    <t>剩余数量</t>
  </si>
  <si>
    <t>PRKWG2303M99155</t>
  </si>
  <si>
    <t>PRKWG2303M99160</t>
  </si>
  <si>
    <t>PRKWG2303M99165</t>
  </si>
  <si>
    <t>PRKWG2303M99170</t>
  </si>
  <si>
    <t>基础信息：</t>
  </si>
  <si>
    <t>我希望达成的结果是补充加单数量后各支社最终的销尽率是差不多的，且补充的库存数量能够满足支社和卖场接下来的销售，同时降低断码率</t>
  </si>
  <si>
    <t>CC68</t>
  </si>
  <si>
    <t>CC7O</t>
  </si>
  <si>
    <t>CDFA</t>
  </si>
  <si>
    <t>CF27</t>
  </si>
  <si>
    <t>CFPW</t>
  </si>
  <si>
    <t>CGG1</t>
  </si>
  <si>
    <t>CKDV</t>
  </si>
  <si>
    <t>CKS0</t>
  </si>
  <si>
    <t>CLBW</t>
  </si>
  <si>
    <t>CLGW</t>
  </si>
  <si>
    <t>CLQK</t>
  </si>
  <si>
    <t>CMMK</t>
  </si>
  <si>
    <t>CMQS</t>
  </si>
  <si>
    <t>CMR0</t>
  </si>
  <si>
    <t>CMZW</t>
  </si>
  <si>
    <t>CN11</t>
  </si>
  <si>
    <t>参数</t>
  </si>
  <si>
    <t>值</t>
  </si>
  <si>
    <t>说明</t>
  </si>
  <si>
    <t>SA/A 保障天数</t>
  </si>
  <si>
    <t>1 个月销量</t>
  </si>
  <si>
    <t>B/C/D/OL 保障周数</t>
  </si>
  <si>
    <t>2 周销量</t>
  </si>
  <si>
    <t>单尺码最大补货</t>
  </si>
  <si>
    <t>上限</t>
  </si>
  <si>
    <t>核心码 1</t>
  </si>
  <si>
    <t>必保尺码</t>
  </si>
  <si>
    <t>核心码 2</t>
  </si>
  <si>
    <t>PR 上海八佰伴(C3JY)</t>
  </si>
  <si>
    <t>PRKWG2303M</t>
  </si>
  <si>
    <t>(99)MIX99</t>
  </si>
  <si>
    <t>160</t>
  </si>
  <si>
    <t>899</t>
  </si>
  <si>
    <t>20260404</t>
  </si>
  <si>
    <t>(PR)PRICH(CN)</t>
  </si>
  <si>
    <t>20260418</t>
  </si>
  <si>
    <t>20260419</t>
  </si>
  <si>
    <t>PR 上海汇金(CM84)</t>
  </si>
  <si>
    <t>PR 上海来福士(CME4)</t>
  </si>
  <si>
    <t>170</t>
  </si>
  <si>
    <t>20260422</t>
  </si>
  <si>
    <t>155</t>
  </si>
  <si>
    <t>165</t>
  </si>
  <si>
    <t>20260411</t>
  </si>
  <si>
    <t>20260412</t>
  </si>
  <si>
    <t>20260420</t>
  </si>
  <si>
    <t>PR 哈尔滨新一百(C3NP)</t>
  </si>
  <si>
    <t>PR长春欧亚商都（红旗街店）(C8UV)</t>
  </si>
  <si>
    <t>20260410</t>
  </si>
  <si>
    <t>20260415</t>
  </si>
  <si>
    <t>PR 沈阳中兴(CAYR)</t>
  </si>
  <si>
    <t>20260406</t>
  </si>
  <si>
    <t>20260405</t>
  </si>
  <si>
    <t>20260403</t>
  </si>
  <si>
    <t>PR 长春欧亚卖场(CMJS)</t>
  </si>
  <si>
    <t>20260407</t>
  </si>
  <si>
    <t>20260416</t>
  </si>
  <si>
    <t>20260417</t>
  </si>
  <si>
    <t>PR 南昌天虹红谷店(C6B5)</t>
  </si>
  <si>
    <t>20260414</t>
  </si>
  <si>
    <t>PR 厦门SM百货(CGS9)</t>
  </si>
  <si>
    <t>PR 南昌百盛（特卖场）(CMMK)</t>
  </si>
  <si>
    <t>20260423</t>
  </si>
  <si>
    <t>PR 呼和浩特王府井奥莱(CFPW)</t>
  </si>
  <si>
    <t>PR 北京汉光(CH66)</t>
  </si>
  <si>
    <t>20260424</t>
  </si>
  <si>
    <t>PR 北京花乡奥莱村(CHF7)</t>
  </si>
  <si>
    <t>PR 北京石景山万达百货(CJQ9)</t>
  </si>
  <si>
    <t>PR 北京物美京北大世界(CKQ8)</t>
  </si>
  <si>
    <t>PR 南京中央商场(C3UM)</t>
  </si>
  <si>
    <t>20260409</t>
  </si>
  <si>
    <t>PR 扬州金鹰(C42K)</t>
  </si>
  <si>
    <t>PR 扬州金鹰国际二期(C5AH)</t>
  </si>
  <si>
    <t>20260421</t>
  </si>
  <si>
    <t>20260402</t>
  </si>
  <si>
    <t>PR 青岛利群(C6TL)</t>
  </si>
  <si>
    <t>PR 济南银座玉函店(C7BE)</t>
  </si>
  <si>
    <t>PR 南京砂之船(CCWJ)</t>
  </si>
  <si>
    <t>PR 青岛佳世客合肥路店(CDF8)</t>
  </si>
  <si>
    <t>20260413</t>
  </si>
  <si>
    <t>PR 南京大洋江北店(CF2O)</t>
  </si>
  <si>
    <t>PR 徐州金鹰 徐州金鹰(CGK2)</t>
  </si>
  <si>
    <t>PR 南京汤山百联(CKDV)</t>
  </si>
  <si>
    <t>PR 扬州砂之船(CKE6)</t>
  </si>
  <si>
    <t>PR 南京金鹰汉中路店(CKS0)</t>
  </si>
  <si>
    <t>PR 南京砂之船江北店(CLBW)</t>
  </si>
  <si>
    <t>PR 南京新街口百货(CLO9)</t>
  </si>
  <si>
    <t>PR 南京河西建邺万达广场(CML6)</t>
  </si>
  <si>
    <t>20260408</t>
  </si>
  <si>
    <t>PR 武汉群光(C3PG)</t>
  </si>
  <si>
    <t>PR 武汉广场(C6H0)</t>
  </si>
  <si>
    <t>PR 衡阳杉杉奥莱(CMR0)</t>
  </si>
  <si>
    <t>PR 太原铜锣湾(C6PB)</t>
  </si>
  <si>
    <t>PR 天津新燕莎奥特莱斯(CDFA)</t>
  </si>
  <si>
    <t>PR 天津杉杉奥莱(CLQK)</t>
  </si>
  <si>
    <t>PR 石家庄北国商城 （特卖）(CN11)</t>
  </si>
  <si>
    <t>PR 深圳华强茂业(C3ZL)</t>
  </si>
  <si>
    <t>20260401</t>
  </si>
  <si>
    <t>PR 广州天河城(C4T3)</t>
  </si>
  <si>
    <t>PR 深圳东门茂业(C554)</t>
  </si>
  <si>
    <t>PR 深圳南山茂业(C6C5)</t>
  </si>
  <si>
    <t>PR 南宁柏联百盛(C6O7)</t>
  </si>
  <si>
    <t>PR 佛山兴华(CHSH)</t>
  </si>
  <si>
    <t>PR 深圳天虹(CJ54)</t>
  </si>
  <si>
    <t>PR 深圳KK TIME(CLX9)</t>
  </si>
  <si>
    <t>PR 南宁华星城市奥特莱斯 (NEW)(CMZW)</t>
  </si>
  <si>
    <t>PR 昆明百货(C55Y)</t>
  </si>
  <si>
    <t>PR 昆明王府井(C6DW)</t>
  </si>
  <si>
    <t>PR 南充商都(C6N0)</t>
  </si>
  <si>
    <t>PR 泸州汇通(CEVH)</t>
  </si>
  <si>
    <t>PR 泸州步步高(CHBJ)</t>
  </si>
  <si>
    <t>PR 宜宾叙府(CKYK)</t>
  </si>
  <si>
    <t>PR 昆明南亚第一城1(CLC5)</t>
  </si>
  <si>
    <t>PR 泸州万象汇(CM08)</t>
  </si>
  <si>
    <t>PR 遂宁万象汇(CMLE)</t>
  </si>
  <si>
    <t>PR 成都伊藤双楠(C400)</t>
  </si>
  <si>
    <t>PR 成都伊藤锦华(C540)</t>
  </si>
  <si>
    <t>PR 成都建设伊藤(C6JR)</t>
  </si>
  <si>
    <t>PR 自贡百盛(CHRU)</t>
  </si>
  <si>
    <t>PR 成都金牛凯德1(CLBL)</t>
  </si>
  <si>
    <t>PR 成都环贸ICD1(CLEO)</t>
  </si>
  <si>
    <t>PR 成都龙湖金楠天街1(CLLA)</t>
  </si>
  <si>
    <t>PR 成都凯德天府(CM1R)</t>
  </si>
  <si>
    <t>PR 郑州丹尼斯CBD(C8GN)</t>
  </si>
  <si>
    <t>PR 郑州丹尼斯大卫城(CKFF)</t>
  </si>
  <si>
    <t>PR 南阳大统百货(CML3)</t>
  </si>
  <si>
    <t>PR平顶山双丰(CN1B)</t>
  </si>
  <si>
    <t>PR 湖州浙北(C484)</t>
  </si>
  <si>
    <t>PR 合肥大洋(C9XR)</t>
  </si>
  <si>
    <t>PR 合肥银泰政务店(CMNZ)</t>
  </si>
  <si>
    <t>PR 淮南新世界(CMQU)</t>
  </si>
  <si>
    <t>电商-京东</t>
  </si>
  <si>
    <t>CMBA</t>
  </si>
  <si>
    <t>PR PR 京东旗舰店 销售*0000(CMBA)</t>
  </si>
  <si>
    <t>电商-天猫</t>
  </si>
  <si>
    <t>PR 天猫(T-MALL)(CC7O)</t>
  </si>
  <si>
    <t>电商-新零售</t>
  </si>
  <si>
    <t>CKNV</t>
  </si>
  <si>
    <t>PR 集团小程序商城（新）(CKNV)</t>
  </si>
  <si>
    <t>PR 西安开元(C5XN)</t>
  </si>
  <si>
    <t>PR 兰州王府井(C641)</t>
  </si>
  <si>
    <t>PR 西安开元西稍门店(CB6Z)</t>
  </si>
  <si>
    <t>PR 西安赛格国际购物中心(CBBH)</t>
  </si>
  <si>
    <t>PR 西安西恩奥特莱斯(CF27)</t>
  </si>
  <si>
    <t>PR 西安王府井赛特奥特莱斯(CGG1)</t>
  </si>
  <si>
    <t>PR 西安砂之船奥特莱斯(CGZV)</t>
  </si>
  <si>
    <t>PR 兰州亚欧商厦(CJ5T)</t>
  </si>
  <si>
    <t>PR 兰州中心(CJG8)</t>
  </si>
  <si>
    <t>PR 汉中鼎鼎百货(CJWZ)</t>
  </si>
  <si>
    <t>PR 兰州百盛(CKGQ)</t>
  </si>
  <si>
    <t>PR 延安百货大楼(CKX4)</t>
  </si>
  <si>
    <t>175</t>
  </si>
  <si>
    <t>PRKWG2303M99175</t>
  </si>
  <si>
    <t>PR 兰州杉杉奥莱(CLGW)</t>
  </si>
  <si>
    <t>PR 宝鸡开元(CM9V)</t>
  </si>
  <si>
    <t>PR 银川砂之船奥莱(CMQS)</t>
  </si>
  <si>
    <t>PR 西安华阳城(CMV4)</t>
  </si>
  <si>
    <t>PR 重庆世纪新都(C3VU)</t>
  </si>
  <si>
    <t>PR 重庆大坪商都(CA8K)</t>
  </si>
  <si>
    <t>PR 重庆西部奥特莱斯(CC68)</t>
  </si>
  <si>
    <t>PR 重庆江南商都(CFQA)</t>
  </si>
  <si>
    <t>PR 贵阳方圆荟海豚购物广场1(CM81)</t>
  </si>
  <si>
    <t>PR 重庆新世界(CMKD)</t>
  </si>
  <si>
    <t>PR 重庆星光时代广场(CMM2)</t>
  </si>
  <si>
    <t>PR 重庆光环花园城(CMTA)</t>
  </si>
  <si>
    <t>款号</t>
    <phoneticPr fontId="5" type="noConversion"/>
  </si>
  <si>
    <t>20260425</t>
  </si>
  <si>
    <t>PR 石家庄新百(C4RB)</t>
  </si>
  <si>
    <t>原则</t>
  </si>
  <si>
    <t>详细规则</t>
  </si>
  <si>
    <t>分配顺序（等级优先）</t>
  </si>
  <si>
    <t>断码修复策略</t>
  </si>
  <si>
    <t>销量匹配供给</t>
  </si>
  <si>
    <t>断码修复后，按等级补足对应周期销量：</t>
  </si>
  <si>
    <t>低等级卖场排序</t>
  </si>
  <si>
    <t>均衡目标</t>
  </si>
  <si>
    <t>保证同等级卖场库销比基本一致，缩小各支社间累计销尽率差异。</t>
  </si>
  <si>
    <t>硬约束</t>
  </si>
  <si>
    <t>信息类别</t>
  </si>
  <si>
    <t>读取位置描述</t>
  </si>
  <si>
    <t>卖场基础信息（含等级）</t>
  </si>
  <si>
    <t>「卖场等级」表</t>
  </si>
  <si>
    <t>初始库存数据</t>
  </si>
  <si>
    <t>「库存」表</t>
  </si>
  <si>
    <t>「销售」表</t>
  </si>
  <si>
    <t>需分配加单量</t>
  </si>
  <si>
    <t>「加单数量」表</t>
  </si>
  <si>
    <t>分配规则参数（可配置）</t>
  </si>
  <si>
    <t>「参数设置」表</t>
  </si>
  <si>
    <t>分配结果输出</t>
  </si>
  <si>
    <t>「结果格式」表</t>
  </si>
  <si>
    <r>
      <t xml:space="preserve">- </t>
    </r>
    <r>
      <rPr>
        <b/>
        <sz val="8"/>
        <color theme="1"/>
        <rFont val="Microsoft YaHei Light"/>
        <family val="2"/>
        <charset val="134"/>
      </rPr>
      <t>B/C/D/OL 级卖场</t>
    </r>
    <r>
      <rPr>
        <sz val="8"/>
        <color theme="1"/>
        <rFont val="Microsoft YaHei Light"/>
        <family val="2"/>
        <charset val="134"/>
      </rPr>
      <t>：仅保障</t>
    </r>
    <r>
      <rPr>
        <b/>
        <sz val="8"/>
        <color theme="1"/>
        <rFont val="Microsoft YaHei Light"/>
        <family val="2"/>
        <charset val="134"/>
      </rPr>
      <t>核心尺码（160/165）有货</t>
    </r>
    <r>
      <rPr>
        <sz val="8"/>
        <color theme="1"/>
        <rFont val="Microsoft YaHei Light"/>
        <family val="2"/>
        <charset val="134"/>
      </rPr>
      <t>，非核心尺码断码不优先修复。</t>
    </r>
  </si>
  <si>
    <r>
      <t xml:space="preserve">- </t>
    </r>
    <r>
      <rPr>
        <b/>
        <sz val="8"/>
        <color theme="1"/>
        <rFont val="Microsoft YaHei Light"/>
        <family val="2"/>
        <charset val="134"/>
      </rPr>
      <t>SA/A 级卖场</t>
    </r>
    <r>
      <rPr>
        <sz val="8"/>
        <color theme="1"/>
        <rFont val="Microsoft YaHei Light"/>
        <family val="2"/>
        <charset val="134"/>
      </rPr>
      <t>：补足至</t>
    </r>
    <r>
      <rPr>
        <b/>
        <sz val="8"/>
        <color theme="1"/>
        <rFont val="Microsoft YaHei Light"/>
        <family val="2"/>
        <charset val="134"/>
      </rPr>
      <t>近 30 天销量</t>
    </r>
    <r>
      <rPr>
        <sz val="8"/>
        <color theme="1"/>
        <rFont val="Microsoft YaHei Light"/>
        <family val="2"/>
        <charset val="134"/>
      </rPr>
      <t>（1 个月需求）。</t>
    </r>
  </si>
  <si>
    <r>
      <t xml:space="preserve">- </t>
    </r>
    <r>
      <rPr>
        <b/>
        <sz val="8"/>
        <color theme="1"/>
        <rFont val="Microsoft YaHei Light"/>
        <family val="2"/>
        <charset val="134"/>
      </rPr>
      <t>B/C/D/OL 级卖场</t>
    </r>
    <r>
      <rPr>
        <sz val="8"/>
        <color theme="1"/>
        <rFont val="Microsoft YaHei Light"/>
        <family val="2"/>
        <charset val="134"/>
      </rPr>
      <t>：补足至</t>
    </r>
    <r>
      <rPr>
        <b/>
        <sz val="8"/>
        <color theme="1"/>
        <rFont val="Microsoft YaHei Light"/>
        <family val="2"/>
        <charset val="134"/>
      </rPr>
      <t>近 14 天销量</t>
    </r>
    <r>
      <rPr>
        <sz val="8"/>
        <color theme="1"/>
        <rFont val="Microsoft YaHei Light"/>
        <family val="2"/>
        <charset val="134"/>
      </rPr>
      <t>（2 周需求）。</t>
    </r>
  </si>
  <si>
    <r>
      <t xml:space="preserve">- 单个 SKU 单尺码最终库存 </t>
    </r>
    <r>
      <rPr>
        <b/>
        <sz val="8"/>
        <color theme="1"/>
        <rFont val="Microsoft YaHei Light"/>
        <family val="2"/>
        <charset val="134"/>
      </rPr>
      <t>≤ 15 件</t>
    </r>
    <r>
      <rPr>
        <sz val="8"/>
        <color theme="1"/>
        <rFont val="Microsoft YaHei Light"/>
        <family val="2"/>
        <charset val="134"/>
      </rPr>
      <t>。</t>
    </r>
  </si>
  <si>
    <r>
      <t xml:space="preserve">- 每个 SKU 的总分配量 </t>
    </r>
    <r>
      <rPr>
        <b/>
        <sz val="8"/>
        <color theme="1"/>
        <rFont val="Microsoft YaHei Light"/>
        <family val="2"/>
        <charset val="134"/>
      </rPr>
      <t>严格等于「加单数量」表中指定的数值</t>
    </r>
    <r>
      <rPr>
        <sz val="8"/>
        <color theme="1"/>
        <rFont val="Microsoft YaHei Light"/>
        <family val="2"/>
        <charset val="134"/>
      </rPr>
      <t>，无剩余、无超额。</t>
    </r>
  </si>
  <si>
    <t>读取工作表</t>
  </si>
  <si>
    <t>门店代码：C列（从第 2 行开始，第 1 行为表头）</t>
  </si>
  <si>
    <t>卖场等级：E 列（对应 A 列门店的等级，如 SA/A/B 等）</t>
  </si>
  <si>
    <t>门店代码：A 列（第 2 行起）</t>
  </si>
  <si>
    <t>SKU 列表：K列（第 2 行起）</t>
  </si>
  <si>
    <t>销售数据（用于计算需求）</t>
  </si>
  <si>
    <t>门店代码：B 列（第 2 行起）</t>
  </si>
  <si>
    <t>SKU：G 列（第 2 行起，与库存表 SKU 对应）</t>
  </si>
  <si>
    <t>销售日期：I列（从第2行起，用于计算不同周期的销量）</t>
  </si>
  <si>
    <t>目标 SKU：C 列（第 2 行起，仅对这些 SKU 进行分配）</t>
  </si>
  <si>
    <t>需要分配的加单量：E 列（第 2 行起，对应 B 列 SKU 的总分配数量）</t>
  </si>
  <si>
    <t>SA/A 级保障周期（天）：B2 单元格（默认 30）</t>
  </si>
  <si>
    <t>B/C/D/OL 级保障周期（天）：B3 单元格（默认 14）</t>
  </si>
  <si>
    <t>单尺码上限（件）：B4 单元格（默认 15）</t>
  </si>
  <si>
    <t>核心尺码 1：B5 单元格（默认 160）</t>
  </si>
  <si>
    <t>核心尺码 2：B6 单元格（默认 165）</t>
  </si>
  <si>
    <t>行：A 列（门店代码，从第 2 行起）</t>
  </si>
  <si>
    <t>列：第 1 行（SKU 列表，从 B 列起）</t>
  </si>
  <si>
    <t>按卖场等级从高到低串行分配：SA级 → A级 → B级 → C级 → D级 → OL级，高等级优先获得资源。</t>
    <phoneticPr fontId="5" type="noConversion"/>
  </si>
  <si>
    <r>
      <t>B/C/D/OL 级卖场在分配前，先按</t>
    </r>
    <r>
      <rPr>
        <b/>
        <sz val="8"/>
        <color theme="1"/>
        <rFont val="Microsoft YaHei Light"/>
        <family val="2"/>
        <charset val="134"/>
      </rPr>
      <t>销尽率（销量 ÷ (销量 + 当前库存)）降序</t>
    </r>
    <r>
      <rPr>
        <sz val="8"/>
        <color theme="1"/>
        <rFont val="Microsoft YaHei Light"/>
        <family val="2"/>
        <charset val="134"/>
      </rPr>
      <t>排列，动销快的门店优先分配；不同等级的卖场分配完成后再进行下一个等级的卖场分配</t>
    </r>
    <phoneticPr fontId="5" type="noConversion"/>
  </si>
  <si>
    <t>库存数量：M列（从第2行起，需剔除负数）</t>
    <phoneticPr fontId="5" type="noConversion"/>
  </si>
  <si>
    <t>销售数量：K 列（第 2 行起，用于汇总近 30 天该门店该 SKU 的总销量，需剔除负数）</t>
    <phoneticPr fontId="5" type="noConversion"/>
  </si>
  <si>
    <t>1、累计销尽率=累计销售数量/（累计销售数量+库存数量）；期间销尽率=期间销售数量/（累计销售数量+库存数量）</t>
    <phoneticPr fontId="5" type="noConversion"/>
  </si>
  <si>
    <t>2、有2个以上连续的尺码有库存就不算断码</t>
    <phoneticPr fontId="5" type="noConversion"/>
  </si>
  <si>
    <t>3、SKU的格式是PRKWG2303M99160，PRKWG2303M代表款号、99代表颜色、160代表尺码；款色代表款号+颜色；</t>
    <phoneticPr fontId="5" type="noConversion"/>
  </si>
  <si>
    <t>4、卖场代码的格式是：C3JY，支社的格式是上海支社</t>
    <phoneticPr fontId="5" type="noConversion"/>
  </si>
  <si>
    <t>数值：交叉单元格为最终分配数量，不包含初始库存</t>
    <phoneticPr fontId="5" type="noConversion"/>
  </si>
  <si>
    <t>5、库存和销售数据只取大于0的数值，其他错误格式默认为0</t>
    <phoneticPr fontId="5" type="noConversion"/>
  </si>
  <si>
    <t>分配范围</t>
    <phoneticPr fontId="5" type="noConversion"/>
  </si>
  <si>
    <t>1. 仅分配「卖场等级」表内的白名单卖场
2. 无库存记录的门店 + SKU，默认库存 = 0
3. 白名单内总分配量 严格等于 加单数量表 E 列总和</t>
    <phoneticPr fontId="5" type="noConversion"/>
  </si>
  <si>
    <t>盈余深度分配（新增）</t>
    <phoneticPr fontId="5" type="noConversion"/>
  </si>
  <si>
    <r>
      <rPr>
        <b/>
        <sz val="8"/>
        <color theme="1"/>
        <rFont val="Microsoft YaHei Light"/>
        <family val="2"/>
        <charset val="134"/>
      </rPr>
      <t>SA/A 级卖场</t>
    </r>
    <r>
      <rPr>
        <sz val="8"/>
        <color theme="1"/>
        <rFont val="Microsoft YaHei Light"/>
        <family val="2"/>
        <charset val="134"/>
      </rPr>
      <t>：优先保障</t>
    </r>
    <r>
      <rPr>
        <b/>
        <sz val="8"/>
        <color theme="1"/>
        <rFont val="Microsoft YaHei Light"/>
        <family val="2"/>
        <charset val="134"/>
      </rPr>
      <t>全尺码有货</t>
    </r>
    <r>
      <rPr>
        <sz val="8"/>
        <color theme="1"/>
        <rFont val="Microsoft YaHei Light"/>
        <family val="2"/>
        <charset val="134"/>
      </rPr>
      <t>，只要当前尺码库存小于 0，就先分配 1 件补全断码；核心尺码（160/165）补2件</t>
    </r>
    <phoneticPr fontId="5" type="noConversion"/>
  </si>
  <si>
    <t>所有门店完成断码修复 + 销量补足后，仍有加单盈余时：
1. 单尺码≤15 硬约束内
2. 按卖场等级和销尽率从高到低依次加量，或者继续补齐尺码
3. 直至总分配量 = 加单总量</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</si>
</sst>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yyyy/m/d;@"/>
    <numFmt numFmtId="177" formatCode="#,##0_ "/>
  </numFmts>
  <fonts count="16" x14ac:knownFonts="1">
    <font>
      <sz val="11"/>
      <color theme="1"/>
      <name val="宋体"/>
      <charset val="134"/>
      <scheme val="minor"/>
    </font>
    <font>
      <sz val="9"/>
      <color theme="1"/>
      <name val="微软雅黑"/>
      <charset val="134"/>
    </font>
    <font>
      <b/>
      <sz val="9"/>
      <color theme="1"/>
      <name val="微软雅黑"/>
      <charset val="134"/>
    </font>
    <font>
      <sz val="8"/>
      <color theme="1"/>
      <name val="微软雅黑"/>
      <charset val="134"/>
    </font>
    <font>
      <sz val="8"/>
      <name val="微软雅黑"/>
      <charset val="134"/>
    </font>
    <font>
      <sz val="9"/>
      <name val="宋体"/>
      <charset val="134"/>
      <scheme val="minor"/>
    </font>
    <font>
      <sz val="9"/>
      <name val="宋体"/>
      <family val="3"/>
      <charset val="134"/>
      <scheme val="minor"/>
    </font>
    <font>
      <sz val="11"/>
      <color rgb="FF000000"/>
      <name val="宋体"/>
      <family val="3"/>
      <charset val="134"/>
    </font>
    <font>
      <b/>
      <sz val="9"/>
      <color theme="1"/>
      <name val="Microsoft YaHei Light"/>
      <family val="2"/>
      <charset val="134"/>
    </font>
    <font>
      <sz val="9"/>
      <color theme="1"/>
      <name val="Microsoft YaHei Light"/>
      <family val="2"/>
      <charset val="134"/>
    </font>
    <font>
      <b/>
      <sz val="9"/>
      <color theme="1"/>
      <name val="微软雅黑"/>
      <family val="2"/>
      <charset val="134"/>
    </font>
    <font>
      <sz val="8"/>
      <color theme="1"/>
      <name val="Microsoft YaHei Light"/>
      <family val="2"/>
      <charset val="134"/>
    </font>
    <font>
      <b/>
      <sz val="8"/>
      <color rgb="FFFF0000"/>
      <name val="Microsoft YaHei Light"/>
      <family val="2"/>
      <charset val="134"/>
    </font>
    <font>
      <b/>
      <sz val="8"/>
      <color theme="1"/>
      <name val="Microsoft YaHei Light"/>
      <family val="2"/>
      <charset val="134"/>
    </font>
    <font>
      <sz val="9"/>
      <color indexed="8"/>
      <name val="微软雅黑"/>
      <family val="2"/>
      <charset val="134"/>
    </font>
    <font>
      <b/>
      <sz val="9"/>
      <color indexed="8"/>
      <name val="微软雅黑"/>
      <family val="2"/>
      <charset val="134"/>
    </font>
  </fonts>
  <fills count="3">
    <fill>
      <patternFill patternType="none"/>
    </fill>
    <fill>
      <patternFill patternType="gray125"/>
    </fill>
    <fill>
      <patternFill patternType="solid">
        <fgColor rgb="FFFFFF00"/>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style="medium">
        <color rgb="FFCCCCCC"/>
      </left>
      <right style="medium">
        <color rgb="FFCCCCCC"/>
      </right>
      <top/>
      <bottom/>
      <diagonal/>
    </border>
  </borders>
  <cellStyleXfs count="1">
    <xf numFmtId="0" fontId="0" fillId="0" borderId="0">
      <alignment vertical="center"/>
    </xf>
  </cellStyleXfs>
  <cellXfs count="46">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2" borderId="0" xfId="0" applyFont="1" applyFill="1" applyAlignment="1">
      <alignment horizontal="center" vertical="center"/>
    </xf>
    <xf numFmtId="0" fontId="3" fillId="0" borderId="0" xfId="0" applyNumberFormat="1" applyFont="1" applyFill="1" applyBorder="1" applyAlignment="1" applyProtection="1">
      <alignment horizontal="center" vertical="center"/>
    </xf>
    <xf numFmtId="0" fontId="3" fillId="0" borderId="0" xfId="0" applyFont="1" applyAlignment="1">
      <alignment horizontal="center" vertical="center"/>
    </xf>
    <xf numFmtId="0" fontId="3" fillId="0" borderId="0" xfId="0" applyNumberFormat="1" applyFont="1" applyFill="1" applyBorder="1" applyAlignment="1" applyProtection="1">
      <alignment horizontal="center" vertical="center" wrapText="1"/>
    </xf>
    <xf numFmtId="176" fontId="3" fillId="0" borderId="0" xfId="0" applyNumberFormat="1" applyFont="1" applyFill="1" applyBorder="1" applyAlignment="1" applyProtection="1">
      <alignment horizontal="center" vertical="center"/>
    </xf>
    <xf numFmtId="177" fontId="3" fillId="0" borderId="0" xfId="0" applyNumberFormat="1" applyFont="1" applyFill="1" applyBorder="1" applyAlignment="1" applyProtection="1">
      <alignment horizontal="center" vertical="center"/>
    </xf>
    <xf numFmtId="0" fontId="3" fillId="2" borderId="0" xfId="0" applyNumberFormat="1" applyFont="1" applyFill="1" applyBorder="1" applyAlignment="1" applyProtection="1">
      <alignment horizontal="center" vertical="center"/>
    </xf>
    <xf numFmtId="0" fontId="3" fillId="0"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177" fontId="3" fillId="2" borderId="0" xfId="0" applyNumberFormat="1" applyFont="1" applyFill="1" applyBorder="1" applyAlignment="1" applyProtection="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Fill="1" applyAlignment="1">
      <alignment horizontal="center" vertical="center" wrapText="1"/>
    </xf>
    <xf numFmtId="0" fontId="9" fillId="0" borderId="0" xfId="0" applyFont="1" applyAlignment="1">
      <alignment horizontal="center" vertical="center"/>
    </xf>
    <xf numFmtId="0" fontId="9" fillId="0" borderId="1" xfId="0" applyFont="1" applyBorder="1" applyAlignment="1">
      <alignment horizontal="center" vertical="center" wrapText="1"/>
    </xf>
    <xf numFmtId="0" fontId="8" fillId="2" borderId="1" xfId="0" applyFont="1" applyFill="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1" xfId="0" applyFont="1" applyBorder="1" applyAlignment="1">
      <alignment horizontal="left" vertical="center" wrapText="1"/>
    </xf>
    <xf numFmtId="0" fontId="11" fillId="0" borderId="1" xfId="0" applyFont="1" applyBorder="1" applyAlignment="1">
      <alignment horizontal="left" vertical="center" wrapText="1"/>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11" fillId="0" borderId="4" xfId="0" applyFont="1" applyBorder="1" applyAlignment="1">
      <alignment horizontal="left" vertical="center" wrapText="1"/>
    </xf>
    <xf numFmtId="0" fontId="15" fillId="0" borderId="1" xfId="0" applyNumberFormat="1" applyFont="1" applyFill="1" applyBorder="1" applyAlignment="1" applyProtection="1">
      <alignment horizontal="center" vertical="center" wrapText="1"/>
    </xf>
    <xf numFmtId="0" fontId="15" fillId="0" borderId="1" xfId="0" applyNumberFormat="1" applyFont="1" applyFill="1" applyBorder="1" applyAlignment="1" applyProtection="1">
      <alignment horizontal="left" vertical="center" wrapText="1"/>
    </xf>
    <xf numFmtId="0" fontId="14" fillId="0" borderId="2" xfId="0" applyNumberFormat="1" applyFont="1" applyFill="1" applyBorder="1" applyAlignment="1" applyProtection="1">
      <alignment horizontal="left" vertical="center" wrapText="1"/>
    </xf>
    <xf numFmtId="0" fontId="14" fillId="0" borderId="3" xfId="0" applyNumberFormat="1" applyFont="1" applyFill="1" applyBorder="1" applyAlignment="1" applyProtection="1">
      <alignment horizontal="left" vertical="center" wrapText="1"/>
    </xf>
    <xf numFmtId="0" fontId="14" fillId="0" borderId="4" xfId="0" applyNumberFormat="1" applyFont="1" applyFill="1" applyBorder="1" applyAlignment="1" applyProtection="1">
      <alignment horizontal="left" vertical="center" wrapText="1"/>
    </xf>
    <xf numFmtId="49" fontId="0" fillId="0" borderId="0" xfId="0" applyNumberFormat="1">
      <alignment vertical="center"/>
    </xf>
    <xf numFmtId="1" fontId="0" fillId="0" borderId="0" xfId="0" applyNumberFormat="1">
      <alignment vertical="center"/>
    </xf>
    <xf numFmtId="0" fontId="11" fillId="0" borderId="0" xfId="0" applyFont="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0" borderId="4" xfId="0" applyFont="1" applyBorder="1" applyAlignment="1">
      <alignment horizontal="left" vertical="center" wrapText="1"/>
    </xf>
    <xf numFmtId="0" fontId="14" fillId="0" borderId="2" xfId="0" applyNumberFormat="1" applyFont="1" applyFill="1" applyBorder="1" applyAlignment="1" applyProtection="1">
      <alignment horizontal="center" vertical="center" wrapText="1"/>
    </xf>
    <xf numFmtId="0" fontId="14" fillId="0" borderId="3" xfId="0" applyNumberFormat="1" applyFont="1" applyFill="1" applyBorder="1" applyAlignment="1" applyProtection="1">
      <alignment horizontal="center" vertical="center" wrapText="1"/>
    </xf>
    <xf numFmtId="0" fontId="14" fillId="0" borderId="4" xfId="0" applyNumberFormat="1" applyFont="1" applyFill="1" applyBorder="1" applyAlignment="1" applyProtection="1">
      <alignment horizontal="center" vertical="center" wrapText="1"/>
    </xf>
  </cellXfs>
  <cellStyles count="1">
    <cellStyle name="常规" xfId="0" builtinId="0"/>
  </cellStyles>
  <dxfs count="54">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53"/>
      <tableStyleElement type="headerRow" dxfId="52"/>
      <tableStyleElement type="totalRow" dxfId="51"/>
      <tableStyleElement type="firstColumn" dxfId="50"/>
      <tableStyleElement type="lastColumn" dxfId="49"/>
      <tableStyleElement type="firstRowStripe" dxfId="48"/>
      <tableStyleElement type="firstColumnStripe" dxfId="47"/>
    </tableStyle>
    <tableStyle name="PivotStylePreset2_Accent1" table="0" count="10" xr9:uid="{267968C8-6FFD-4C36-ACC1-9EA1FD1885CA}">
      <tableStyleElement type="headerRow" dxfId="46"/>
      <tableStyleElement type="totalRow" dxfId="45"/>
      <tableStyleElement type="firstRowStripe" dxfId="44"/>
      <tableStyleElement type="firstColumnStripe" dxfId="43"/>
      <tableStyleElement type="firstSubtotalRow" dxfId="42"/>
      <tableStyleElement type="secondSubtotalRow" dxfId="41"/>
      <tableStyleElement type="firstRowSubheading" dxfId="40"/>
      <tableStyleElement type="secondRowSubheading" dxfId="39"/>
      <tableStyleElement type="pageFieldLabels" dxfId="38"/>
      <tableStyleElement type="pageFieldValues" dxfId="37"/>
    </tableStyle>
  </tableStyles>
  <colors>
    <mruColors>
      <color rgb="FFFF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133350</xdr:colOff>
          <xdr:row>0</xdr:row>
          <xdr:rowOff>133350</xdr:rowOff>
        </xdr:from>
        <xdr:to>
          <xdr:col>5</xdr:col>
          <xdr:colOff>400050</xdr:colOff>
          <xdr:row>2</xdr:row>
          <xdr:rowOff>123825</xdr:rowOff>
        </xdr:to>
        <xdr:sp macro="" textlink="">
          <xdr:nvSpPr>
            <xdr:cNvPr id="12289" name="Button 1" hidden="1">
              <a:extLst>
                <a:ext uri="{63B3BB69-23CF-44E3-9099-C40C66FF867C}">
                  <a14:compatExt spid="_x0000_s12289"/>
                </a:ext>
                <a:ext uri="{FF2B5EF4-FFF2-40B4-BE49-F238E27FC236}">
                  <a16:creationId xmlns:a16="http://schemas.microsoft.com/office/drawing/2014/main" id="{00000000-0008-0000-0600-00000130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zh-CN" altLang="en-US" sz="1100" b="0" i="0" u="none" strike="noStrike" baseline="0">
                  <a:solidFill>
                    <a:srgbClr val="000000"/>
                  </a:solidFill>
                  <a:latin typeface="宋体"/>
                  <a:ea typeface="宋体"/>
                </a:rPr>
                <a:t>加单分配</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3</xdr:row>
          <xdr:rowOff>171450</xdr:rowOff>
        </xdr:from>
        <xdr:to>
          <xdr:col>5</xdr:col>
          <xdr:colOff>504825</xdr:colOff>
          <xdr:row>5</xdr:row>
          <xdr:rowOff>171450</xdr:rowOff>
        </xdr:to>
        <xdr:sp macro="" textlink="">
          <xdr:nvSpPr>
            <xdr:cNvPr id="12290" name="Button 2" hidden="1">
              <a:extLst>
                <a:ext uri="{63B3BB69-23CF-44E3-9099-C40C66FF867C}">
                  <a14:compatExt spid="_x0000_s12290"/>
                </a:ext>
                <a:ext uri="{FF2B5EF4-FFF2-40B4-BE49-F238E27FC236}">
                  <a16:creationId xmlns:a16="http://schemas.microsoft.com/office/drawing/2014/main" id="{00000000-0008-0000-0600-00000230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zh-CN" altLang="en-US" sz="1100" b="0" i="0" u="none" strike="noStrike" baseline="0">
                  <a:solidFill>
                    <a:srgbClr val="000000"/>
                  </a:solidFill>
                  <a:latin typeface="宋体"/>
                  <a:ea typeface="宋体"/>
                </a:rPr>
                <a:t>1️⃣加载数据</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114300</xdr:colOff>
          <xdr:row>6</xdr:row>
          <xdr:rowOff>104775</xdr:rowOff>
        </xdr:from>
        <xdr:to>
          <xdr:col>5</xdr:col>
          <xdr:colOff>523875</xdr:colOff>
          <xdr:row>8</xdr:row>
          <xdr:rowOff>28575</xdr:rowOff>
        </xdr:to>
        <xdr:sp macro="" textlink="">
          <xdr:nvSpPr>
            <xdr:cNvPr id="12291" name="Button 3" hidden="1">
              <a:extLst>
                <a:ext uri="{63B3BB69-23CF-44E3-9099-C40C66FF867C}">
                  <a14:compatExt spid="_x0000_s12291"/>
                </a:ext>
                <a:ext uri="{FF2B5EF4-FFF2-40B4-BE49-F238E27FC236}">
                  <a16:creationId xmlns:a16="http://schemas.microsoft.com/office/drawing/2014/main" id="{00000000-0008-0000-0600-00000330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zh-CN" altLang="en-US" sz="1100" b="0" i="0" u="none" strike="noStrike" baseline="0">
                  <a:solidFill>
                    <a:srgbClr val="000000"/>
                  </a:solidFill>
                  <a:latin typeface="宋体"/>
                  <a:ea typeface="宋体"/>
                </a:rPr>
                <a:t>2️⃣等级分配</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190500</xdr:colOff>
          <xdr:row>9</xdr:row>
          <xdr:rowOff>57150</xdr:rowOff>
        </xdr:from>
        <xdr:to>
          <xdr:col>5</xdr:col>
          <xdr:colOff>609600</xdr:colOff>
          <xdr:row>10</xdr:row>
          <xdr:rowOff>114300</xdr:rowOff>
        </xdr:to>
        <xdr:sp macro="" textlink="">
          <xdr:nvSpPr>
            <xdr:cNvPr id="12292" name="Button 4" hidden="1">
              <a:extLst>
                <a:ext uri="{63B3BB69-23CF-44E3-9099-C40C66FF867C}">
                  <a14:compatExt spid="_x0000_s12292"/>
                </a:ext>
                <a:ext uri="{FF2B5EF4-FFF2-40B4-BE49-F238E27FC236}">
                  <a16:creationId xmlns:a16="http://schemas.microsoft.com/office/drawing/2014/main" id="{00000000-0008-0000-0600-00000430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zh-CN" altLang="en-US" sz="1100" b="0" i="0" u="none" strike="noStrike" baseline="0">
                  <a:solidFill>
                    <a:srgbClr val="000000"/>
                  </a:solidFill>
                  <a:latin typeface="宋体"/>
                  <a:ea typeface="宋体"/>
                </a:rPr>
                <a:t>3️⃣盈余分配</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257175</xdr:colOff>
          <xdr:row>11</xdr:row>
          <xdr:rowOff>161925</xdr:rowOff>
        </xdr:from>
        <xdr:to>
          <xdr:col>6</xdr:col>
          <xdr:colOff>47625</xdr:colOff>
          <xdr:row>15</xdr:row>
          <xdr:rowOff>123825</xdr:rowOff>
        </xdr:to>
        <xdr:sp macro="" textlink="">
          <xdr:nvSpPr>
            <xdr:cNvPr id="12293" name="Button 5" hidden="1">
              <a:extLst>
                <a:ext uri="{63B3BB69-23CF-44E3-9099-C40C66FF867C}">
                  <a14:compatExt spid="_x0000_s12293"/>
                </a:ext>
                <a:ext uri="{FF2B5EF4-FFF2-40B4-BE49-F238E27FC236}">
                  <a16:creationId xmlns:a16="http://schemas.microsoft.com/office/drawing/2014/main" id="{00000000-0008-0000-0600-00000530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zh-CN" altLang="en-US" sz="1100" b="0" i="0" u="none" strike="noStrike" baseline="0">
                  <a:solidFill>
                    <a:srgbClr val="000000"/>
                  </a:solidFill>
                  <a:latin typeface="宋体"/>
                  <a:ea typeface="宋体"/>
                </a:rPr>
                <a:t>4️⃣输出结果</a:t>
              </a:r>
            </a:p>
          </xdr:txBody>
        </xdr:sp>
        <xdr:clientData fPrintsWithSheet="0"/>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531"/>
  <sheetViews>
    <sheetView topLeftCell="H1" workbookViewId="0">
      <selection activeCell="P18" sqref="P18"/>
    </sheetView>
  </sheetViews>
  <sheetFormatPr defaultColWidth="9" defaultRowHeight="14.25" x14ac:dyDescent="0.15"/>
  <cols>
    <col min="1" max="1" width="8.375" style="1" customWidth="1"/>
    <col min="2" max="2" width="9" style="1"/>
    <col min="3" max="3" width="20.375" style="1" customWidth="1"/>
    <col min="4" max="4" width="4.875" style="1" customWidth="1"/>
    <col min="5" max="5" width="3.625" style="1" customWidth="1"/>
    <col min="6" max="6" width="19.875" style="1" customWidth="1"/>
    <col min="7" max="7" width="9" style="1"/>
    <col min="8" max="8" width="12.125" style="1" customWidth="1"/>
    <col min="9" max="9" width="11.125" style="1" customWidth="1"/>
    <col min="10" max="10" width="9" style="1"/>
    <col min="11" max="11" width="17" style="1" customWidth="1"/>
    <col min="12" max="16384" width="9" style="1"/>
  </cols>
  <sheetData>
    <row r="1" spans="1:23" s="18" customFormat="1" ht="28.5" x14ac:dyDescent="0.15">
      <c r="A1" s="19" t="s">
        <v>0</v>
      </c>
      <c r="B1" s="19" t="s">
        <v>1</v>
      </c>
      <c r="C1" s="19" t="s">
        <v>2</v>
      </c>
      <c r="D1" s="19" t="s">
        <v>3</v>
      </c>
      <c r="E1" s="19" t="s">
        <v>4</v>
      </c>
      <c r="F1" s="19" t="s">
        <v>5</v>
      </c>
      <c r="G1" s="19" t="s">
        <v>6</v>
      </c>
      <c r="H1" s="20" t="s">
        <v>7</v>
      </c>
      <c r="I1" s="20" t="s">
        <v>8</v>
      </c>
      <c r="J1" s="20" t="s">
        <v>9</v>
      </c>
      <c r="K1" s="16" t="s">
        <v>10</v>
      </c>
      <c r="L1" s="19" t="s">
        <v>11</v>
      </c>
      <c r="M1" s="16" t="s">
        <v>12</v>
      </c>
      <c r="N1" s="19" t="s">
        <v>13</v>
      </c>
      <c r="O1" s="19" t="s">
        <v>14</v>
      </c>
      <c r="P1" s="19" t="s">
        <v>15</v>
      </c>
      <c r="Q1" s="19" t="s">
        <v>16</v>
      </c>
      <c r="R1" s="19" t="s">
        <v>17</v>
      </c>
      <c r="S1" s="19" t="s">
        <v>18</v>
      </c>
      <c r="T1" s="19" t="s">
        <v>19</v>
      </c>
      <c r="U1" s="19" t="s">
        <v>20</v>
      </c>
      <c r="V1" s="19" t="s">
        <v>21</v>
      </c>
      <c r="W1" s="19" t="s">
        <v>22</v>
      </c>
    </row>
    <row r="2" spans="1:23" x14ac:dyDescent="0.15">
      <c r="A2" s="2" t="str">
        <f t="shared" ref="A2:A5" si="0">"C3JY"</f>
        <v>C3JY</v>
      </c>
      <c r="B2" s="2" t="str">
        <f t="shared" ref="B2:B5" si="1">"上海支社"</f>
        <v>上海支社</v>
      </c>
      <c r="C2" s="2" t="str">
        <f t="shared" ref="C2:C5" si="2">"PR 上海八佰伴(C3JY)"</f>
        <v>PR 上海八佰伴(C3JY)</v>
      </c>
      <c r="D2" s="2" t="str">
        <f t="shared" ref="D2:D50" si="3">"2026"</f>
        <v>2026</v>
      </c>
      <c r="E2" s="2" t="str">
        <f t="shared" ref="E2:E50" si="4">"夏"</f>
        <v>夏</v>
      </c>
      <c r="F2" s="2" t="str">
        <f t="shared" ref="F2:F50" si="5">"一般毛衣(SWEATER)(KW)"</f>
        <v>一般毛衣(SWEATER)(KW)</v>
      </c>
      <c r="H2" s="2" t="str">
        <f t="shared" ref="H2:H50" si="6">"PRKWG2303M"</f>
        <v>PRKWG2303M</v>
      </c>
      <c r="I2" s="2" t="str">
        <f t="shared" ref="I2:I25" si="7">"(99)MIX99"</f>
        <v>(99)MIX99</v>
      </c>
      <c r="J2" s="2" t="str">
        <f>"155"</f>
        <v>155</v>
      </c>
      <c r="K2" s="2" t="str">
        <f>"PRKWG2303M99155"</f>
        <v>PRKWG2303M99155</v>
      </c>
      <c r="L2" s="2" t="str">
        <f t="shared" ref="L2:L50" si="8">"899"</f>
        <v>899</v>
      </c>
      <c r="M2" s="1">
        <v>1</v>
      </c>
      <c r="N2" s="1">
        <v>899</v>
      </c>
      <c r="O2" s="1">
        <v>1</v>
      </c>
      <c r="P2" s="1">
        <v>899</v>
      </c>
      <c r="Q2" s="1">
        <v>0</v>
      </c>
      <c r="R2" s="1">
        <v>0</v>
      </c>
      <c r="S2" s="1">
        <v>0</v>
      </c>
      <c r="T2" s="1">
        <v>0</v>
      </c>
      <c r="U2" s="1">
        <v>1</v>
      </c>
      <c r="V2" s="1">
        <v>899</v>
      </c>
    </row>
    <row r="3" spans="1:23" x14ac:dyDescent="0.15">
      <c r="A3" s="2" t="str">
        <f t="shared" si="0"/>
        <v>C3JY</v>
      </c>
      <c r="B3" s="2" t="str">
        <f t="shared" si="1"/>
        <v>上海支社</v>
      </c>
      <c r="C3" s="2" t="str">
        <f t="shared" si="2"/>
        <v>PR 上海八佰伴(C3JY)</v>
      </c>
      <c r="D3" s="2" t="str">
        <f t="shared" si="3"/>
        <v>2026</v>
      </c>
      <c r="E3" s="2" t="str">
        <f t="shared" si="4"/>
        <v>夏</v>
      </c>
      <c r="F3" s="2" t="str">
        <f t="shared" si="5"/>
        <v>一般毛衣(SWEATER)(KW)</v>
      </c>
      <c r="H3" s="2" t="str">
        <f t="shared" si="6"/>
        <v>PRKWG2303M</v>
      </c>
      <c r="I3" s="2" t="str">
        <f t="shared" si="7"/>
        <v>(99)MIX99</v>
      </c>
      <c r="J3" s="2" t="str">
        <f>"160"</f>
        <v>160</v>
      </c>
      <c r="K3" s="2" t="str">
        <f>"PRKWG2303M99160"</f>
        <v>PRKWG2303M99160</v>
      </c>
      <c r="L3" s="2" t="str">
        <f t="shared" si="8"/>
        <v>899</v>
      </c>
      <c r="M3" s="1">
        <v>9</v>
      </c>
      <c r="N3" s="1">
        <v>8091</v>
      </c>
      <c r="O3" s="1">
        <v>9</v>
      </c>
      <c r="P3" s="1">
        <v>8091</v>
      </c>
      <c r="Q3" s="1">
        <v>0</v>
      </c>
      <c r="R3" s="1">
        <v>0</v>
      </c>
      <c r="S3" s="1">
        <v>0</v>
      </c>
      <c r="T3" s="1">
        <v>0</v>
      </c>
      <c r="U3" s="1">
        <v>9</v>
      </c>
      <c r="V3" s="1">
        <v>8091</v>
      </c>
    </row>
    <row r="4" spans="1:23" x14ac:dyDescent="0.15">
      <c r="A4" s="2" t="str">
        <f t="shared" si="0"/>
        <v>C3JY</v>
      </c>
      <c r="B4" s="2" t="str">
        <f t="shared" si="1"/>
        <v>上海支社</v>
      </c>
      <c r="C4" s="2" t="str">
        <f t="shared" si="2"/>
        <v>PR 上海八佰伴(C3JY)</v>
      </c>
      <c r="D4" s="2" t="str">
        <f t="shared" si="3"/>
        <v>2026</v>
      </c>
      <c r="E4" s="2" t="str">
        <f t="shared" si="4"/>
        <v>夏</v>
      </c>
      <c r="F4" s="2" t="str">
        <f t="shared" si="5"/>
        <v>一般毛衣(SWEATER)(KW)</v>
      </c>
      <c r="H4" s="2" t="str">
        <f t="shared" si="6"/>
        <v>PRKWG2303M</v>
      </c>
      <c r="I4" s="2" t="str">
        <f t="shared" si="7"/>
        <v>(99)MIX99</v>
      </c>
      <c r="J4" s="2" t="str">
        <f>"165"</f>
        <v>165</v>
      </c>
      <c r="K4" s="2" t="str">
        <f>"PRKWG2303M99165"</f>
        <v>PRKWG2303M99165</v>
      </c>
      <c r="L4" s="2" t="str">
        <f t="shared" si="8"/>
        <v>899</v>
      </c>
      <c r="M4" s="1">
        <v>2</v>
      </c>
      <c r="N4" s="1">
        <v>1798</v>
      </c>
      <c r="O4" s="1">
        <v>2</v>
      </c>
      <c r="P4" s="1">
        <v>1798</v>
      </c>
      <c r="Q4" s="1">
        <v>0</v>
      </c>
      <c r="R4" s="1">
        <v>0</v>
      </c>
      <c r="S4" s="1">
        <v>0</v>
      </c>
      <c r="T4" s="1">
        <v>0</v>
      </c>
      <c r="U4" s="1">
        <v>2</v>
      </c>
      <c r="V4" s="1">
        <v>1798</v>
      </c>
    </row>
    <row r="5" spans="1:23" x14ac:dyDescent="0.15">
      <c r="A5" s="2" t="str">
        <f t="shared" si="0"/>
        <v>C3JY</v>
      </c>
      <c r="B5" s="2" t="str">
        <f t="shared" si="1"/>
        <v>上海支社</v>
      </c>
      <c r="C5" s="2" t="str">
        <f t="shared" si="2"/>
        <v>PR 上海八佰伴(C3JY)</v>
      </c>
      <c r="D5" s="2" t="str">
        <f t="shared" si="3"/>
        <v>2026</v>
      </c>
      <c r="E5" s="2" t="str">
        <f t="shared" si="4"/>
        <v>夏</v>
      </c>
      <c r="F5" s="2" t="str">
        <f t="shared" si="5"/>
        <v>一般毛衣(SWEATER)(KW)</v>
      </c>
      <c r="H5" s="2" t="str">
        <f t="shared" si="6"/>
        <v>PRKWG2303M</v>
      </c>
      <c r="I5" s="2" t="str">
        <f t="shared" si="7"/>
        <v>(99)MIX99</v>
      </c>
      <c r="J5" s="2" t="str">
        <f>"170"</f>
        <v>170</v>
      </c>
      <c r="K5" s="2" t="str">
        <f>"PRKWG2303M99170"</f>
        <v>PRKWG2303M99170</v>
      </c>
      <c r="L5" s="2" t="str">
        <f t="shared" si="8"/>
        <v>899</v>
      </c>
      <c r="M5" s="1">
        <v>2</v>
      </c>
      <c r="N5" s="1">
        <v>1798</v>
      </c>
      <c r="O5" s="1">
        <v>2</v>
      </c>
      <c r="P5" s="1">
        <v>1798</v>
      </c>
      <c r="Q5" s="1">
        <v>0</v>
      </c>
      <c r="R5" s="1">
        <v>0</v>
      </c>
      <c r="S5" s="1">
        <v>0</v>
      </c>
      <c r="T5" s="1">
        <v>0</v>
      </c>
      <c r="U5" s="1">
        <v>2</v>
      </c>
      <c r="V5" s="1">
        <v>1798</v>
      </c>
    </row>
    <row r="6" spans="1:23" x14ac:dyDescent="0.15">
      <c r="A6" s="2" t="str">
        <f t="shared" ref="A6:A8" si="9">"C3NP"</f>
        <v>C3NP</v>
      </c>
      <c r="B6" s="2" t="str">
        <f t="shared" ref="B6:B8" si="10">"东北支社"</f>
        <v>东北支社</v>
      </c>
      <c r="C6" s="2" t="str">
        <f t="shared" ref="C6:C8" si="11">"PR 哈尔滨新一百(C3NP)"</f>
        <v>PR 哈尔滨新一百(C3NP)</v>
      </c>
      <c r="D6" s="2" t="str">
        <f t="shared" si="3"/>
        <v>2026</v>
      </c>
      <c r="E6" s="2" t="str">
        <f t="shared" si="4"/>
        <v>夏</v>
      </c>
      <c r="F6" s="2" t="str">
        <f t="shared" si="5"/>
        <v>一般毛衣(SWEATER)(KW)</v>
      </c>
      <c r="H6" s="2" t="str">
        <f t="shared" si="6"/>
        <v>PRKWG2303M</v>
      </c>
      <c r="I6" s="2" t="str">
        <f t="shared" si="7"/>
        <v>(99)MIX99</v>
      </c>
      <c r="J6" s="2" t="str">
        <f>"160"</f>
        <v>160</v>
      </c>
      <c r="K6" s="2" t="str">
        <f>"PRKWG2303M99160"</f>
        <v>PRKWG2303M99160</v>
      </c>
      <c r="L6" s="2" t="str">
        <f t="shared" si="8"/>
        <v>899</v>
      </c>
      <c r="M6" s="1">
        <v>3</v>
      </c>
      <c r="N6" s="1">
        <v>2697</v>
      </c>
      <c r="O6" s="1">
        <v>3</v>
      </c>
      <c r="P6" s="1">
        <v>2697</v>
      </c>
      <c r="Q6" s="1">
        <v>0</v>
      </c>
      <c r="R6" s="1">
        <v>0</v>
      </c>
      <c r="S6" s="1">
        <v>0</v>
      </c>
      <c r="T6" s="1">
        <v>0</v>
      </c>
      <c r="U6" s="1">
        <v>3</v>
      </c>
      <c r="V6" s="1">
        <v>2697</v>
      </c>
    </row>
    <row r="7" spans="1:23" x14ac:dyDescent="0.15">
      <c r="A7" s="2" t="str">
        <f t="shared" si="9"/>
        <v>C3NP</v>
      </c>
      <c r="B7" s="2" t="str">
        <f t="shared" si="10"/>
        <v>东北支社</v>
      </c>
      <c r="C7" s="2" t="str">
        <f t="shared" si="11"/>
        <v>PR 哈尔滨新一百(C3NP)</v>
      </c>
      <c r="D7" s="2" t="str">
        <f t="shared" si="3"/>
        <v>2026</v>
      </c>
      <c r="E7" s="2" t="str">
        <f t="shared" si="4"/>
        <v>夏</v>
      </c>
      <c r="F7" s="2" t="str">
        <f t="shared" si="5"/>
        <v>一般毛衣(SWEATER)(KW)</v>
      </c>
      <c r="H7" s="2" t="str">
        <f t="shared" si="6"/>
        <v>PRKWG2303M</v>
      </c>
      <c r="I7" s="2" t="str">
        <f t="shared" si="7"/>
        <v>(99)MIX99</v>
      </c>
      <c r="J7" s="2" t="str">
        <f>"165"</f>
        <v>165</v>
      </c>
      <c r="K7" s="2" t="str">
        <f>"PRKWG2303M99165"</f>
        <v>PRKWG2303M99165</v>
      </c>
      <c r="L7" s="2" t="str">
        <f t="shared" si="8"/>
        <v>899</v>
      </c>
      <c r="M7" s="1">
        <v>2</v>
      </c>
      <c r="N7" s="1">
        <v>1798</v>
      </c>
      <c r="O7" s="1">
        <v>2</v>
      </c>
      <c r="P7" s="1">
        <v>1798</v>
      </c>
      <c r="Q7" s="1">
        <v>0</v>
      </c>
      <c r="R7" s="1">
        <v>0</v>
      </c>
      <c r="S7" s="1">
        <v>0</v>
      </c>
      <c r="T7" s="1">
        <v>0</v>
      </c>
      <c r="U7" s="1">
        <v>2</v>
      </c>
      <c r="V7" s="1">
        <v>1798</v>
      </c>
    </row>
    <row r="8" spans="1:23" x14ac:dyDescent="0.15">
      <c r="A8" s="2" t="str">
        <f t="shared" si="9"/>
        <v>C3NP</v>
      </c>
      <c r="B8" s="2" t="str">
        <f t="shared" si="10"/>
        <v>东北支社</v>
      </c>
      <c r="C8" s="2" t="str">
        <f t="shared" si="11"/>
        <v>PR 哈尔滨新一百(C3NP)</v>
      </c>
      <c r="D8" s="2" t="str">
        <f t="shared" si="3"/>
        <v>2026</v>
      </c>
      <c r="E8" s="2" t="str">
        <f t="shared" si="4"/>
        <v>夏</v>
      </c>
      <c r="F8" s="2" t="str">
        <f t="shared" si="5"/>
        <v>一般毛衣(SWEATER)(KW)</v>
      </c>
      <c r="H8" s="2" t="str">
        <f t="shared" si="6"/>
        <v>PRKWG2303M</v>
      </c>
      <c r="I8" s="2" t="str">
        <f t="shared" si="7"/>
        <v>(99)MIX99</v>
      </c>
      <c r="J8" s="2" t="str">
        <f>"170"</f>
        <v>170</v>
      </c>
      <c r="K8" s="2" t="str">
        <f>"PRKWG2303M99170"</f>
        <v>PRKWG2303M99170</v>
      </c>
      <c r="L8" s="2" t="str">
        <f t="shared" si="8"/>
        <v>899</v>
      </c>
      <c r="M8" s="1">
        <v>2</v>
      </c>
      <c r="N8" s="1">
        <v>1798</v>
      </c>
      <c r="O8" s="1">
        <v>2</v>
      </c>
      <c r="P8" s="1">
        <v>1798</v>
      </c>
      <c r="Q8" s="1">
        <v>0</v>
      </c>
      <c r="R8" s="1">
        <v>0</v>
      </c>
      <c r="S8" s="1">
        <v>0</v>
      </c>
      <c r="T8" s="1">
        <v>0</v>
      </c>
      <c r="U8" s="1">
        <v>2</v>
      </c>
      <c r="V8" s="1">
        <v>1798</v>
      </c>
    </row>
    <row r="9" spans="1:23" x14ac:dyDescent="0.15">
      <c r="A9" s="2" t="str">
        <f t="shared" ref="A9:A12" si="12">"C3PG"</f>
        <v>C3PG</v>
      </c>
      <c r="B9" s="2" t="str">
        <f t="shared" ref="B9:B12" si="13">"华中支社"</f>
        <v>华中支社</v>
      </c>
      <c r="C9" s="2" t="str">
        <f t="shared" ref="C9:C12" si="14">"PR 武汉群光(C3PG)"</f>
        <v>PR 武汉群光(C3PG)</v>
      </c>
      <c r="D9" s="2" t="str">
        <f t="shared" si="3"/>
        <v>2026</v>
      </c>
      <c r="E9" s="2" t="str">
        <f t="shared" si="4"/>
        <v>夏</v>
      </c>
      <c r="F9" s="2" t="str">
        <f t="shared" si="5"/>
        <v>一般毛衣(SWEATER)(KW)</v>
      </c>
      <c r="H9" s="2" t="str">
        <f t="shared" si="6"/>
        <v>PRKWG2303M</v>
      </c>
      <c r="I9" s="2" t="str">
        <f t="shared" si="7"/>
        <v>(99)MIX99</v>
      </c>
      <c r="J9" s="2" t="str">
        <f>"155"</f>
        <v>155</v>
      </c>
      <c r="K9" s="2" t="str">
        <f>"PRKWG2303M99155"</f>
        <v>PRKWG2303M99155</v>
      </c>
      <c r="L9" s="2" t="str">
        <f t="shared" si="8"/>
        <v>899</v>
      </c>
      <c r="M9" s="1">
        <v>1</v>
      </c>
      <c r="N9" s="1">
        <v>899</v>
      </c>
      <c r="O9" s="1">
        <v>1</v>
      </c>
      <c r="P9" s="1">
        <v>899</v>
      </c>
      <c r="Q9" s="1">
        <v>0</v>
      </c>
      <c r="R9" s="1">
        <v>0</v>
      </c>
      <c r="S9" s="1">
        <v>0</v>
      </c>
      <c r="T9" s="1">
        <v>0</v>
      </c>
      <c r="U9" s="1">
        <v>1</v>
      </c>
      <c r="V9" s="1">
        <v>899</v>
      </c>
    </row>
    <row r="10" spans="1:23" x14ac:dyDescent="0.15">
      <c r="A10" s="2" t="str">
        <f t="shared" si="12"/>
        <v>C3PG</v>
      </c>
      <c r="B10" s="2" t="str">
        <f t="shared" si="13"/>
        <v>华中支社</v>
      </c>
      <c r="C10" s="2" t="str">
        <f t="shared" si="14"/>
        <v>PR 武汉群光(C3PG)</v>
      </c>
      <c r="D10" s="2" t="str">
        <f t="shared" si="3"/>
        <v>2026</v>
      </c>
      <c r="E10" s="2" t="str">
        <f t="shared" si="4"/>
        <v>夏</v>
      </c>
      <c r="F10" s="2" t="str">
        <f t="shared" si="5"/>
        <v>一般毛衣(SWEATER)(KW)</v>
      </c>
      <c r="H10" s="2" t="str">
        <f t="shared" si="6"/>
        <v>PRKWG2303M</v>
      </c>
      <c r="I10" s="2" t="str">
        <f t="shared" si="7"/>
        <v>(99)MIX99</v>
      </c>
      <c r="J10" s="2" t="str">
        <f>"160"</f>
        <v>160</v>
      </c>
      <c r="K10" s="2" t="str">
        <f>"PRKWG2303M99160"</f>
        <v>PRKWG2303M99160</v>
      </c>
      <c r="L10" s="2" t="str">
        <f t="shared" si="8"/>
        <v>899</v>
      </c>
      <c r="M10" s="1">
        <v>1</v>
      </c>
      <c r="N10" s="1">
        <v>899</v>
      </c>
      <c r="O10" s="1">
        <v>1</v>
      </c>
      <c r="P10" s="1">
        <v>899</v>
      </c>
      <c r="Q10" s="1">
        <v>0</v>
      </c>
      <c r="R10" s="1">
        <v>0</v>
      </c>
      <c r="S10" s="1">
        <v>1</v>
      </c>
      <c r="T10" s="1">
        <v>899</v>
      </c>
      <c r="U10" s="1">
        <v>2</v>
      </c>
      <c r="V10" s="1">
        <v>1798</v>
      </c>
    </row>
    <row r="11" spans="1:23" x14ac:dyDescent="0.15">
      <c r="A11" s="2" t="str">
        <f t="shared" si="12"/>
        <v>C3PG</v>
      </c>
      <c r="B11" s="2" t="str">
        <f t="shared" si="13"/>
        <v>华中支社</v>
      </c>
      <c r="C11" s="2" t="str">
        <f t="shared" si="14"/>
        <v>PR 武汉群光(C3PG)</v>
      </c>
      <c r="D11" s="2" t="str">
        <f t="shared" si="3"/>
        <v>2026</v>
      </c>
      <c r="E11" s="2" t="str">
        <f t="shared" si="4"/>
        <v>夏</v>
      </c>
      <c r="F11" s="2" t="str">
        <f t="shared" si="5"/>
        <v>一般毛衣(SWEATER)(KW)</v>
      </c>
      <c r="H11" s="2" t="str">
        <f t="shared" si="6"/>
        <v>PRKWG2303M</v>
      </c>
      <c r="I11" s="2" t="str">
        <f t="shared" si="7"/>
        <v>(99)MIX99</v>
      </c>
      <c r="J11" s="2" t="str">
        <f>"165"</f>
        <v>165</v>
      </c>
      <c r="K11" s="2" t="str">
        <f>"PRKWG2303M99165"</f>
        <v>PRKWG2303M99165</v>
      </c>
      <c r="L11" s="2" t="str">
        <f t="shared" si="8"/>
        <v>899</v>
      </c>
      <c r="M11" s="1">
        <v>2</v>
      </c>
      <c r="N11" s="1">
        <v>1798</v>
      </c>
      <c r="O11" s="1">
        <v>2</v>
      </c>
      <c r="P11" s="1">
        <v>1798</v>
      </c>
      <c r="Q11" s="1">
        <v>0</v>
      </c>
      <c r="R11" s="1">
        <v>0</v>
      </c>
      <c r="S11" s="1">
        <v>0</v>
      </c>
      <c r="T11" s="1">
        <v>0</v>
      </c>
      <c r="U11" s="1">
        <v>2</v>
      </c>
      <c r="V11" s="1">
        <v>1798</v>
      </c>
    </row>
    <row r="12" spans="1:23" x14ac:dyDescent="0.15">
      <c r="A12" s="2" t="str">
        <f t="shared" si="12"/>
        <v>C3PG</v>
      </c>
      <c r="B12" s="2" t="str">
        <f t="shared" si="13"/>
        <v>华中支社</v>
      </c>
      <c r="C12" s="2" t="str">
        <f t="shared" si="14"/>
        <v>PR 武汉群光(C3PG)</v>
      </c>
      <c r="D12" s="2" t="str">
        <f t="shared" si="3"/>
        <v>2026</v>
      </c>
      <c r="E12" s="2" t="str">
        <f t="shared" si="4"/>
        <v>夏</v>
      </c>
      <c r="F12" s="2" t="str">
        <f t="shared" si="5"/>
        <v>一般毛衣(SWEATER)(KW)</v>
      </c>
      <c r="H12" s="2" t="str">
        <f t="shared" si="6"/>
        <v>PRKWG2303M</v>
      </c>
      <c r="I12" s="2" t="str">
        <f t="shared" si="7"/>
        <v>(99)MIX99</v>
      </c>
      <c r="J12" s="2" t="str">
        <f>"170"</f>
        <v>170</v>
      </c>
      <c r="K12" s="2" t="str">
        <f>"PRKWG2303M99170"</f>
        <v>PRKWG2303M99170</v>
      </c>
      <c r="L12" s="2" t="str">
        <f t="shared" si="8"/>
        <v>899</v>
      </c>
      <c r="M12" s="1">
        <v>1</v>
      </c>
      <c r="N12" s="1">
        <v>899</v>
      </c>
      <c r="O12" s="1">
        <v>1</v>
      </c>
      <c r="P12" s="1">
        <v>899</v>
      </c>
      <c r="Q12" s="1">
        <v>0</v>
      </c>
      <c r="R12" s="1">
        <v>0</v>
      </c>
      <c r="S12" s="1">
        <v>0</v>
      </c>
      <c r="T12" s="1">
        <v>0</v>
      </c>
      <c r="U12" s="1">
        <v>1</v>
      </c>
      <c r="V12" s="1">
        <v>899</v>
      </c>
    </row>
    <row r="13" spans="1:23" x14ac:dyDescent="0.15">
      <c r="A13" s="2" t="str">
        <f t="shared" ref="A13:A15" si="15">"C3PM"</f>
        <v>C3PM</v>
      </c>
      <c r="B13" s="2" t="str">
        <f t="shared" ref="B13:B15" si="16">"川西支社"</f>
        <v>川西支社</v>
      </c>
      <c r="C13" s="2" t="str">
        <f t="shared" ref="C13:C15" si="17">"PR 成都王府井(C3PM)"</f>
        <v>PR 成都王府井(C3PM)</v>
      </c>
      <c r="D13" s="2" t="str">
        <f t="shared" si="3"/>
        <v>2026</v>
      </c>
      <c r="E13" s="2" t="str">
        <f t="shared" si="4"/>
        <v>夏</v>
      </c>
      <c r="F13" s="2" t="str">
        <f t="shared" si="5"/>
        <v>一般毛衣(SWEATER)(KW)</v>
      </c>
      <c r="H13" s="2" t="str">
        <f t="shared" si="6"/>
        <v>PRKWG2303M</v>
      </c>
      <c r="I13" s="2" t="str">
        <f t="shared" si="7"/>
        <v>(99)MIX99</v>
      </c>
      <c r="J13" s="2" t="str">
        <f>"160"</f>
        <v>160</v>
      </c>
      <c r="K13" s="2" t="str">
        <f>"PRKWG2303M99160"</f>
        <v>PRKWG2303M99160</v>
      </c>
      <c r="L13" s="2" t="str">
        <f t="shared" si="8"/>
        <v>899</v>
      </c>
      <c r="M13" s="1">
        <v>2</v>
      </c>
      <c r="N13" s="1">
        <v>1798</v>
      </c>
      <c r="O13" s="1">
        <v>2</v>
      </c>
      <c r="P13" s="1">
        <v>1798</v>
      </c>
      <c r="Q13" s="1">
        <v>0</v>
      </c>
      <c r="R13" s="1">
        <v>0</v>
      </c>
      <c r="S13" s="1">
        <v>0</v>
      </c>
      <c r="T13" s="1">
        <v>0</v>
      </c>
      <c r="U13" s="1">
        <v>2</v>
      </c>
      <c r="V13" s="1">
        <v>1798</v>
      </c>
    </row>
    <row r="14" spans="1:23" x14ac:dyDescent="0.15">
      <c r="A14" s="2" t="str">
        <f t="shared" si="15"/>
        <v>C3PM</v>
      </c>
      <c r="B14" s="2" t="str">
        <f t="shared" si="16"/>
        <v>川西支社</v>
      </c>
      <c r="C14" s="2" t="str">
        <f t="shared" si="17"/>
        <v>PR 成都王府井(C3PM)</v>
      </c>
      <c r="D14" s="2" t="str">
        <f t="shared" si="3"/>
        <v>2026</v>
      </c>
      <c r="E14" s="2" t="str">
        <f t="shared" si="4"/>
        <v>夏</v>
      </c>
      <c r="F14" s="2" t="str">
        <f t="shared" si="5"/>
        <v>一般毛衣(SWEATER)(KW)</v>
      </c>
      <c r="H14" s="2" t="str">
        <f t="shared" si="6"/>
        <v>PRKWG2303M</v>
      </c>
      <c r="I14" s="2" t="str">
        <f t="shared" si="7"/>
        <v>(99)MIX99</v>
      </c>
      <c r="J14" s="2" t="str">
        <f>"165"</f>
        <v>165</v>
      </c>
      <c r="K14" s="2" t="str">
        <f>"PRKWG2303M99165"</f>
        <v>PRKWG2303M99165</v>
      </c>
      <c r="L14" s="2" t="str">
        <f t="shared" si="8"/>
        <v>899</v>
      </c>
      <c r="M14" s="1">
        <v>1</v>
      </c>
      <c r="N14" s="1">
        <v>899</v>
      </c>
      <c r="O14" s="1">
        <v>1</v>
      </c>
      <c r="P14" s="1">
        <v>899</v>
      </c>
      <c r="Q14" s="1">
        <v>0</v>
      </c>
      <c r="R14" s="1">
        <v>0</v>
      </c>
      <c r="S14" s="1">
        <v>0</v>
      </c>
      <c r="T14" s="1">
        <v>0</v>
      </c>
      <c r="U14" s="1">
        <v>1</v>
      </c>
      <c r="V14" s="1">
        <v>899</v>
      </c>
    </row>
    <row r="15" spans="1:23" x14ac:dyDescent="0.15">
      <c r="A15" s="2" t="str">
        <f t="shared" si="15"/>
        <v>C3PM</v>
      </c>
      <c r="B15" s="2" t="str">
        <f t="shared" si="16"/>
        <v>川西支社</v>
      </c>
      <c r="C15" s="2" t="str">
        <f t="shared" si="17"/>
        <v>PR 成都王府井(C3PM)</v>
      </c>
      <c r="D15" s="2" t="str">
        <f t="shared" si="3"/>
        <v>2026</v>
      </c>
      <c r="E15" s="2" t="str">
        <f t="shared" si="4"/>
        <v>夏</v>
      </c>
      <c r="F15" s="2" t="str">
        <f t="shared" si="5"/>
        <v>一般毛衣(SWEATER)(KW)</v>
      </c>
      <c r="H15" s="2" t="str">
        <f t="shared" si="6"/>
        <v>PRKWG2303M</v>
      </c>
      <c r="I15" s="2" t="str">
        <f t="shared" si="7"/>
        <v>(99)MIX99</v>
      </c>
      <c r="J15" s="2" t="str">
        <f>"170"</f>
        <v>170</v>
      </c>
      <c r="K15" s="2" t="str">
        <f>"PRKWG2303M99170"</f>
        <v>PRKWG2303M99170</v>
      </c>
      <c r="L15" s="2" t="str">
        <f t="shared" si="8"/>
        <v>899</v>
      </c>
      <c r="M15" s="1">
        <v>1</v>
      </c>
      <c r="N15" s="1">
        <v>899</v>
      </c>
      <c r="O15" s="1">
        <v>1</v>
      </c>
      <c r="P15" s="1">
        <v>899</v>
      </c>
      <c r="Q15" s="1">
        <v>0</v>
      </c>
      <c r="R15" s="1">
        <v>0</v>
      </c>
      <c r="S15" s="1">
        <v>0</v>
      </c>
      <c r="T15" s="1">
        <v>0</v>
      </c>
      <c r="U15" s="1">
        <v>1</v>
      </c>
      <c r="V15" s="1">
        <v>899</v>
      </c>
    </row>
    <row r="16" spans="1:23" x14ac:dyDescent="0.15">
      <c r="A16" s="2" t="str">
        <f t="shared" ref="A16:A19" si="18">"C3R2"</f>
        <v>C3R2</v>
      </c>
      <c r="B16" s="2" t="str">
        <f t="shared" ref="B16:B19" si="19">"北京支社"</f>
        <v>北京支社</v>
      </c>
      <c r="C16" s="2" t="str">
        <f t="shared" ref="C16:C19" si="20">"PR 北京君太(C3R2)"</f>
        <v>PR 北京君太(C3R2)</v>
      </c>
      <c r="D16" s="2" t="str">
        <f t="shared" si="3"/>
        <v>2026</v>
      </c>
      <c r="E16" s="2" t="str">
        <f t="shared" si="4"/>
        <v>夏</v>
      </c>
      <c r="F16" s="2" t="str">
        <f t="shared" si="5"/>
        <v>一般毛衣(SWEATER)(KW)</v>
      </c>
      <c r="H16" s="2" t="str">
        <f t="shared" si="6"/>
        <v>PRKWG2303M</v>
      </c>
      <c r="I16" s="2" t="str">
        <f t="shared" si="7"/>
        <v>(99)MIX99</v>
      </c>
      <c r="J16" s="2" t="str">
        <f>"155"</f>
        <v>155</v>
      </c>
      <c r="K16" s="2" t="str">
        <f>"PRKWG2303M99155"</f>
        <v>PRKWG2303M99155</v>
      </c>
      <c r="L16" s="2" t="str">
        <f t="shared" si="8"/>
        <v>899</v>
      </c>
      <c r="M16" s="1">
        <v>3</v>
      </c>
      <c r="N16" s="1">
        <v>2697</v>
      </c>
      <c r="O16" s="1">
        <v>3</v>
      </c>
      <c r="P16" s="1">
        <v>2697</v>
      </c>
      <c r="Q16" s="1">
        <v>0</v>
      </c>
      <c r="R16" s="1">
        <v>0</v>
      </c>
      <c r="S16" s="1">
        <v>0</v>
      </c>
      <c r="T16" s="1">
        <v>0</v>
      </c>
      <c r="U16" s="1">
        <v>3</v>
      </c>
      <c r="V16" s="1">
        <v>2697</v>
      </c>
    </row>
    <row r="17" spans="1:22" x14ac:dyDescent="0.15">
      <c r="A17" s="2" t="str">
        <f t="shared" si="18"/>
        <v>C3R2</v>
      </c>
      <c r="B17" s="2" t="str">
        <f t="shared" si="19"/>
        <v>北京支社</v>
      </c>
      <c r="C17" s="2" t="str">
        <f t="shared" si="20"/>
        <v>PR 北京君太(C3R2)</v>
      </c>
      <c r="D17" s="2" t="str">
        <f t="shared" si="3"/>
        <v>2026</v>
      </c>
      <c r="E17" s="2" t="str">
        <f t="shared" si="4"/>
        <v>夏</v>
      </c>
      <c r="F17" s="2" t="str">
        <f t="shared" si="5"/>
        <v>一般毛衣(SWEATER)(KW)</v>
      </c>
      <c r="H17" s="2" t="str">
        <f t="shared" si="6"/>
        <v>PRKWG2303M</v>
      </c>
      <c r="I17" s="2" t="str">
        <f t="shared" si="7"/>
        <v>(99)MIX99</v>
      </c>
      <c r="J17" s="2" t="str">
        <f>"160"</f>
        <v>160</v>
      </c>
      <c r="K17" s="2" t="str">
        <f>"PRKWG2303M99160"</f>
        <v>PRKWG2303M99160</v>
      </c>
      <c r="L17" s="2" t="str">
        <f t="shared" si="8"/>
        <v>899</v>
      </c>
      <c r="M17" s="1">
        <v>4</v>
      </c>
      <c r="N17" s="1">
        <v>3596</v>
      </c>
      <c r="O17" s="1">
        <v>4</v>
      </c>
      <c r="P17" s="1">
        <v>3596</v>
      </c>
      <c r="Q17" s="1">
        <v>0</v>
      </c>
      <c r="R17" s="1">
        <v>0</v>
      </c>
      <c r="S17" s="1">
        <v>0</v>
      </c>
      <c r="T17" s="1">
        <v>0</v>
      </c>
      <c r="U17" s="1">
        <v>4</v>
      </c>
      <c r="V17" s="1">
        <v>3596</v>
      </c>
    </row>
    <row r="18" spans="1:22" x14ac:dyDescent="0.15">
      <c r="A18" s="2" t="str">
        <f t="shared" si="18"/>
        <v>C3R2</v>
      </c>
      <c r="B18" s="2" t="str">
        <f t="shared" si="19"/>
        <v>北京支社</v>
      </c>
      <c r="C18" s="2" t="str">
        <f t="shared" si="20"/>
        <v>PR 北京君太(C3R2)</v>
      </c>
      <c r="D18" s="2" t="str">
        <f t="shared" si="3"/>
        <v>2026</v>
      </c>
      <c r="E18" s="2" t="str">
        <f t="shared" si="4"/>
        <v>夏</v>
      </c>
      <c r="F18" s="2" t="str">
        <f t="shared" si="5"/>
        <v>一般毛衣(SWEATER)(KW)</v>
      </c>
      <c r="H18" s="2" t="str">
        <f t="shared" si="6"/>
        <v>PRKWG2303M</v>
      </c>
      <c r="I18" s="2" t="str">
        <f t="shared" si="7"/>
        <v>(99)MIX99</v>
      </c>
      <c r="J18" s="2" t="str">
        <f>"165"</f>
        <v>165</v>
      </c>
      <c r="K18" s="2" t="str">
        <f>"PRKWG2303M99165"</f>
        <v>PRKWG2303M99165</v>
      </c>
      <c r="L18" s="2" t="str">
        <f t="shared" si="8"/>
        <v>899</v>
      </c>
      <c r="M18" s="1">
        <v>2</v>
      </c>
      <c r="N18" s="1">
        <v>1798</v>
      </c>
      <c r="O18" s="1">
        <v>2</v>
      </c>
      <c r="P18" s="1">
        <v>1798</v>
      </c>
      <c r="Q18" s="1">
        <v>0</v>
      </c>
      <c r="R18" s="1">
        <v>0</v>
      </c>
      <c r="S18" s="1">
        <v>0</v>
      </c>
      <c r="T18" s="1">
        <v>0</v>
      </c>
      <c r="U18" s="1">
        <v>2</v>
      </c>
      <c r="V18" s="1">
        <v>1798</v>
      </c>
    </row>
    <row r="19" spans="1:22" x14ac:dyDescent="0.15">
      <c r="A19" s="2" t="str">
        <f t="shared" si="18"/>
        <v>C3R2</v>
      </c>
      <c r="B19" s="2" t="str">
        <f t="shared" si="19"/>
        <v>北京支社</v>
      </c>
      <c r="C19" s="2" t="str">
        <f t="shared" si="20"/>
        <v>PR 北京君太(C3R2)</v>
      </c>
      <c r="D19" s="2" t="str">
        <f t="shared" si="3"/>
        <v>2026</v>
      </c>
      <c r="E19" s="2" t="str">
        <f t="shared" si="4"/>
        <v>夏</v>
      </c>
      <c r="F19" s="2" t="str">
        <f t="shared" si="5"/>
        <v>一般毛衣(SWEATER)(KW)</v>
      </c>
      <c r="H19" s="2" t="str">
        <f t="shared" si="6"/>
        <v>PRKWG2303M</v>
      </c>
      <c r="I19" s="2" t="str">
        <f t="shared" si="7"/>
        <v>(99)MIX99</v>
      </c>
      <c r="J19" s="2" t="str">
        <f>"170"</f>
        <v>170</v>
      </c>
      <c r="K19" s="2" t="str">
        <f>"PRKWG2303M99170"</f>
        <v>PRKWG2303M99170</v>
      </c>
      <c r="L19" s="2" t="str">
        <f t="shared" si="8"/>
        <v>899</v>
      </c>
      <c r="M19" s="1">
        <v>1</v>
      </c>
      <c r="N19" s="1">
        <v>899</v>
      </c>
      <c r="O19" s="1">
        <v>1</v>
      </c>
      <c r="P19" s="1">
        <v>899</v>
      </c>
      <c r="Q19" s="1">
        <v>0</v>
      </c>
      <c r="R19" s="1">
        <v>0</v>
      </c>
      <c r="S19" s="1">
        <v>0</v>
      </c>
      <c r="T19" s="1">
        <v>0</v>
      </c>
      <c r="U19" s="1">
        <v>1</v>
      </c>
      <c r="V19" s="1">
        <v>899</v>
      </c>
    </row>
    <row r="20" spans="1:22" x14ac:dyDescent="0.15">
      <c r="A20" s="2" t="str">
        <f t="shared" ref="A20:A22" si="21">"C3RN"</f>
        <v>C3RN</v>
      </c>
      <c r="B20" s="2" t="str">
        <f t="shared" ref="B20:B22" si="22">"华中支社"</f>
        <v>华中支社</v>
      </c>
      <c r="C20" s="2" t="str">
        <f t="shared" ref="C20:C22" si="23">"PR 长沙平和堂(C3RN)"</f>
        <v>PR 长沙平和堂(C3RN)</v>
      </c>
      <c r="D20" s="2" t="str">
        <f t="shared" si="3"/>
        <v>2026</v>
      </c>
      <c r="E20" s="2" t="str">
        <f t="shared" si="4"/>
        <v>夏</v>
      </c>
      <c r="F20" s="2" t="str">
        <f t="shared" si="5"/>
        <v>一般毛衣(SWEATER)(KW)</v>
      </c>
      <c r="H20" s="2" t="str">
        <f t="shared" si="6"/>
        <v>PRKWG2303M</v>
      </c>
      <c r="I20" s="2" t="str">
        <f t="shared" si="7"/>
        <v>(99)MIX99</v>
      </c>
      <c r="J20" s="2" t="str">
        <f>"160"</f>
        <v>160</v>
      </c>
      <c r="K20" s="2" t="str">
        <f>"PRKWG2303M99160"</f>
        <v>PRKWG2303M99160</v>
      </c>
      <c r="L20" s="2" t="str">
        <f t="shared" si="8"/>
        <v>899</v>
      </c>
      <c r="M20" s="1">
        <v>2</v>
      </c>
      <c r="N20" s="1">
        <v>1798</v>
      </c>
      <c r="O20" s="1">
        <v>2</v>
      </c>
      <c r="P20" s="1">
        <v>1798</v>
      </c>
      <c r="Q20" s="1">
        <v>0</v>
      </c>
      <c r="R20" s="1">
        <v>0</v>
      </c>
      <c r="S20" s="1">
        <v>0</v>
      </c>
      <c r="T20" s="1">
        <v>0</v>
      </c>
      <c r="U20" s="1">
        <v>2</v>
      </c>
      <c r="V20" s="1">
        <v>1798</v>
      </c>
    </row>
    <row r="21" spans="1:22" x14ac:dyDescent="0.15">
      <c r="A21" s="2" t="str">
        <f t="shared" si="21"/>
        <v>C3RN</v>
      </c>
      <c r="B21" s="2" t="str">
        <f t="shared" si="22"/>
        <v>华中支社</v>
      </c>
      <c r="C21" s="2" t="str">
        <f t="shared" si="23"/>
        <v>PR 长沙平和堂(C3RN)</v>
      </c>
      <c r="D21" s="2" t="str">
        <f t="shared" si="3"/>
        <v>2026</v>
      </c>
      <c r="E21" s="2" t="str">
        <f t="shared" si="4"/>
        <v>夏</v>
      </c>
      <c r="F21" s="2" t="str">
        <f t="shared" si="5"/>
        <v>一般毛衣(SWEATER)(KW)</v>
      </c>
      <c r="H21" s="2" t="str">
        <f t="shared" si="6"/>
        <v>PRKWG2303M</v>
      </c>
      <c r="I21" s="2" t="str">
        <f t="shared" si="7"/>
        <v>(99)MIX99</v>
      </c>
      <c r="J21" s="2" t="str">
        <f>"165"</f>
        <v>165</v>
      </c>
      <c r="K21" s="2" t="str">
        <f>"PRKWG2303M99165"</f>
        <v>PRKWG2303M99165</v>
      </c>
      <c r="L21" s="2" t="str">
        <f t="shared" si="8"/>
        <v>899</v>
      </c>
      <c r="M21" s="1">
        <v>2</v>
      </c>
      <c r="N21" s="1">
        <v>1798</v>
      </c>
      <c r="O21" s="1">
        <v>2</v>
      </c>
      <c r="P21" s="1">
        <v>1798</v>
      </c>
      <c r="Q21" s="1">
        <v>0</v>
      </c>
      <c r="R21" s="1">
        <v>0</v>
      </c>
      <c r="S21" s="1">
        <v>0</v>
      </c>
      <c r="T21" s="1">
        <v>0</v>
      </c>
      <c r="U21" s="1">
        <v>2</v>
      </c>
      <c r="V21" s="1">
        <v>1798</v>
      </c>
    </row>
    <row r="22" spans="1:22" x14ac:dyDescent="0.15">
      <c r="A22" s="2" t="str">
        <f t="shared" si="21"/>
        <v>C3RN</v>
      </c>
      <c r="B22" s="2" t="str">
        <f t="shared" si="22"/>
        <v>华中支社</v>
      </c>
      <c r="C22" s="2" t="str">
        <f t="shared" si="23"/>
        <v>PR 长沙平和堂(C3RN)</v>
      </c>
      <c r="D22" s="2" t="str">
        <f t="shared" si="3"/>
        <v>2026</v>
      </c>
      <c r="E22" s="2" t="str">
        <f t="shared" si="4"/>
        <v>夏</v>
      </c>
      <c r="F22" s="2" t="str">
        <f t="shared" si="5"/>
        <v>一般毛衣(SWEATER)(KW)</v>
      </c>
      <c r="H22" s="2" t="str">
        <f t="shared" si="6"/>
        <v>PRKWG2303M</v>
      </c>
      <c r="I22" s="2" t="str">
        <f t="shared" si="7"/>
        <v>(99)MIX99</v>
      </c>
      <c r="J22" s="2" t="str">
        <f>"170"</f>
        <v>170</v>
      </c>
      <c r="K22" s="2" t="str">
        <f>"PRKWG2303M99170"</f>
        <v>PRKWG2303M99170</v>
      </c>
      <c r="L22" s="2" t="str">
        <f t="shared" si="8"/>
        <v>899</v>
      </c>
      <c r="M22" s="1">
        <v>1</v>
      </c>
      <c r="N22" s="1">
        <v>899</v>
      </c>
      <c r="O22" s="1">
        <v>1</v>
      </c>
      <c r="P22" s="1">
        <v>899</v>
      </c>
      <c r="Q22" s="1">
        <v>0</v>
      </c>
      <c r="R22" s="1">
        <v>0</v>
      </c>
      <c r="S22" s="1">
        <v>0</v>
      </c>
      <c r="T22" s="1">
        <v>0</v>
      </c>
      <c r="U22" s="1">
        <v>1</v>
      </c>
      <c r="V22" s="1">
        <v>899</v>
      </c>
    </row>
    <row r="23" spans="1:22" x14ac:dyDescent="0.15">
      <c r="A23" s="2" t="str">
        <f t="shared" ref="A23:A25" si="24">"C3SG"</f>
        <v>C3SG</v>
      </c>
      <c r="B23" s="2" t="str">
        <f t="shared" ref="B23:B28" si="25">"华东支社"</f>
        <v>华东支社</v>
      </c>
      <c r="C23" s="2" t="str">
        <f t="shared" ref="C23:C25" si="26">"PR 南京大洋(C3SG)"</f>
        <v>PR 南京大洋(C3SG)</v>
      </c>
      <c r="D23" s="2" t="str">
        <f t="shared" si="3"/>
        <v>2026</v>
      </c>
      <c r="E23" s="2" t="str">
        <f t="shared" si="4"/>
        <v>夏</v>
      </c>
      <c r="F23" s="2" t="str">
        <f t="shared" si="5"/>
        <v>一般毛衣(SWEATER)(KW)</v>
      </c>
      <c r="H23" s="2" t="str">
        <f t="shared" si="6"/>
        <v>PRKWG2303M</v>
      </c>
      <c r="I23" s="2" t="str">
        <f t="shared" si="7"/>
        <v>(99)MIX99</v>
      </c>
      <c r="J23" s="2" t="str">
        <f>"160"</f>
        <v>160</v>
      </c>
      <c r="K23" s="2" t="str">
        <f>"PRKWG2303M99160"</f>
        <v>PRKWG2303M99160</v>
      </c>
      <c r="L23" s="2" t="str">
        <f t="shared" si="8"/>
        <v>899</v>
      </c>
      <c r="M23" s="1">
        <v>3</v>
      </c>
      <c r="N23" s="1">
        <v>2697</v>
      </c>
      <c r="O23" s="1">
        <v>3</v>
      </c>
      <c r="P23" s="1">
        <v>2697</v>
      </c>
      <c r="Q23" s="1">
        <v>0</v>
      </c>
      <c r="R23" s="1">
        <v>0</v>
      </c>
      <c r="S23" s="1">
        <v>0</v>
      </c>
      <c r="T23" s="1">
        <v>0</v>
      </c>
      <c r="U23" s="1">
        <v>3</v>
      </c>
      <c r="V23" s="1">
        <v>2697</v>
      </c>
    </row>
    <row r="24" spans="1:22" x14ac:dyDescent="0.15">
      <c r="A24" s="2" t="str">
        <f t="shared" si="24"/>
        <v>C3SG</v>
      </c>
      <c r="B24" s="2" t="str">
        <f t="shared" si="25"/>
        <v>华东支社</v>
      </c>
      <c r="C24" s="2" t="str">
        <f t="shared" si="26"/>
        <v>PR 南京大洋(C3SG)</v>
      </c>
      <c r="D24" s="2" t="str">
        <f t="shared" si="3"/>
        <v>2026</v>
      </c>
      <c r="E24" s="2" t="str">
        <f t="shared" si="4"/>
        <v>夏</v>
      </c>
      <c r="F24" s="2" t="str">
        <f t="shared" si="5"/>
        <v>一般毛衣(SWEATER)(KW)</v>
      </c>
      <c r="H24" s="2" t="str">
        <f t="shared" si="6"/>
        <v>PRKWG2303M</v>
      </c>
      <c r="I24" s="2" t="str">
        <f t="shared" si="7"/>
        <v>(99)MIX99</v>
      </c>
      <c r="J24" s="2" t="str">
        <f>"165"</f>
        <v>165</v>
      </c>
      <c r="K24" s="2" t="str">
        <f>"PRKWG2303M99165"</f>
        <v>PRKWG2303M99165</v>
      </c>
      <c r="L24" s="2" t="str">
        <f t="shared" si="8"/>
        <v>899</v>
      </c>
      <c r="M24" s="1">
        <v>1</v>
      </c>
      <c r="N24" s="1">
        <v>899</v>
      </c>
      <c r="O24" s="1">
        <v>1</v>
      </c>
      <c r="P24" s="1">
        <v>899</v>
      </c>
      <c r="Q24" s="1">
        <v>0</v>
      </c>
      <c r="R24" s="1">
        <v>0</v>
      </c>
      <c r="S24" s="1">
        <v>0</v>
      </c>
      <c r="T24" s="1">
        <v>0</v>
      </c>
      <c r="U24" s="1">
        <v>1</v>
      </c>
      <c r="V24" s="1">
        <v>899</v>
      </c>
    </row>
    <row r="25" spans="1:22" x14ac:dyDescent="0.15">
      <c r="A25" s="2" t="str">
        <f t="shared" si="24"/>
        <v>C3SG</v>
      </c>
      <c r="B25" s="2" t="str">
        <f t="shared" si="25"/>
        <v>华东支社</v>
      </c>
      <c r="C25" s="2" t="str">
        <f t="shared" si="26"/>
        <v>PR 南京大洋(C3SG)</v>
      </c>
      <c r="D25" s="2" t="str">
        <f t="shared" si="3"/>
        <v>2026</v>
      </c>
      <c r="E25" s="2" t="str">
        <f t="shared" si="4"/>
        <v>夏</v>
      </c>
      <c r="F25" s="2" t="str">
        <f t="shared" si="5"/>
        <v>一般毛衣(SWEATER)(KW)</v>
      </c>
      <c r="H25" s="2" t="str">
        <f t="shared" si="6"/>
        <v>PRKWG2303M</v>
      </c>
      <c r="I25" s="2" t="str">
        <f t="shared" si="7"/>
        <v>(99)MIX99</v>
      </c>
      <c r="J25" s="2" t="str">
        <f>"170"</f>
        <v>170</v>
      </c>
      <c r="K25" s="2" t="str">
        <f>"PRKWG2303M99170"</f>
        <v>PRKWG2303M99170</v>
      </c>
      <c r="L25" s="2" t="str">
        <f t="shared" si="8"/>
        <v>899</v>
      </c>
      <c r="M25" s="1">
        <v>1</v>
      </c>
      <c r="N25" s="1">
        <v>899</v>
      </c>
      <c r="O25" s="1">
        <v>1</v>
      </c>
      <c r="P25" s="1">
        <v>899</v>
      </c>
      <c r="Q25" s="1">
        <v>0</v>
      </c>
      <c r="R25" s="1">
        <v>0</v>
      </c>
      <c r="S25" s="1">
        <v>0</v>
      </c>
      <c r="T25" s="1">
        <v>0</v>
      </c>
      <c r="U25" s="1">
        <v>1</v>
      </c>
      <c r="V25" s="1">
        <v>899</v>
      </c>
    </row>
    <row r="26" spans="1:22" x14ac:dyDescent="0.15">
      <c r="A26" s="2" t="str">
        <f t="shared" ref="A26:A28" si="27">"C3UM"</f>
        <v>C3UM</v>
      </c>
      <c r="B26" s="2" t="str">
        <f t="shared" si="25"/>
        <v>华东支社</v>
      </c>
      <c r="C26" s="2" t="str">
        <f t="shared" ref="C26:C28" si="28">"PR 南京中央商场(C3UM)"</f>
        <v>PR 南京中央商场(C3UM)</v>
      </c>
      <c r="D26" s="2" t="str">
        <f t="shared" si="3"/>
        <v>2026</v>
      </c>
      <c r="E26" s="2" t="str">
        <f t="shared" si="4"/>
        <v>夏</v>
      </c>
      <c r="F26" s="2" t="str">
        <f t="shared" si="5"/>
        <v>一般毛衣(SWEATER)(KW)</v>
      </c>
      <c r="H26" s="2" t="str">
        <f t="shared" si="6"/>
        <v>PRKWG2303M</v>
      </c>
      <c r="I26" s="2" t="str">
        <f t="shared" ref="I26:I28" si="29">"(99)MIX99"</f>
        <v>(99)MIX99</v>
      </c>
      <c r="J26" s="2" t="str">
        <f>"160"</f>
        <v>160</v>
      </c>
      <c r="K26" s="2" t="str">
        <f>"PRKWG2303M99160"</f>
        <v>PRKWG2303M99160</v>
      </c>
      <c r="L26" s="2" t="str">
        <f t="shared" si="8"/>
        <v>899</v>
      </c>
      <c r="M26" s="1">
        <v>1</v>
      </c>
      <c r="N26" s="1">
        <v>899</v>
      </c>
      <c r="O26" s="1">
        <v>1</v>
      </c>
      <c r="P26" s="1">
        <v>899</v>
      </c>
      <c r="Q26" s="1">
        <v>0</v>
      </c>
      <c r="R26" s="1">
        <v>0</v>
      </c>
      <c r="S26" s="1">
        <v>1</v>
      </c>
      <c r="T26" s="1">
        <v>899</v>
      </c>
      <c r="U26" s="1">
        <v>2</v>
      </c>
      <c r="V26" s="1">
        <v>1798</v>
      </c>
    </row>
    <row r="27" spans="1:22" x14ac:dyDescent="0.15">
      <c r="A27" s="2" t="str">
        <f t="shared" si="27"/>
        <v>C3UM</v>
      </c>
      <c r="B27" s="2" t="str">
        <f t="shared" si="25"/>
        <v>华东支社</v>
      </c>
      <c r="C27" s="2" t="str">
        <f t="shared" si="28"/>
        <v>PR 南京中央商场(C3UM)</v>
      </c>
      <c r="D27" s="2" t="str">
        <f t="shared" si="3"/>
        <v>2026</v>
      </c>
      <c r="E27" s="2" t="str">
        <f t="shared" si="4"/>
        <v>夏</v>
      </c>
      <c r="F27" s="2" t="str">
        <f t="shared" si="5"/>
        <v>一般毛衣(SWEATER)(KW)</v>
      </c>
      <c r="H27" s="2" t="str">
        <f t="shared" si="6"/>
        <v>PRKWG2303M</v>
      </c>
      <c r="I27" s="2" t="str">
        <f t="shared" si="29"/>
        <v>(99)MIX99</v>
      </c>
      <c r="J27" s="2" t="str">
        <f>"165"</f>
        <v>165</v>
      </c>
      <c r="K27" s="2" t="str">
        <f>"PRKWG2303M99165"</f>
        <v>PRKWG2303M99165</v>
      </c>
      <c r="L27" s="2" t="str">
        <f t="shared" si="8"/>
        <v>899</v>
      </c>
      <c r="M27" s="1">
        <v>2</v>
      </c>
      <c r="N27" s="1">
        <v>1798</v>
      </c>
      <c r="O27" s="1">
        <v>2</v>
      </c>
      <c r="P27" s="1">
        <v>1798</v>
      </c>
      <c r="Q27" s="1">
        <v>0</v>
      </c>
      <c r="R27" s="1">
        <v>0</v>
      </c>
      <c r="S27" s="1">
        <v>0</v>
      </c>
      <c r="T27" s="1">
        <v>0</v>
      </c>
      <c r="U27" s="1">
        <v>2</v>
      </c>
      <c r="V27" s="1">
        <v>1798</v>
      </c>
    </row>
    <row r="28" spans="1:22" x14ac:dyDescent="0.15">
      <c r="A28" s="2" t="str">
        <f t="shared" si="27"/>
        <v>C3UM</v>
      </c>
      <c r="B28" s="2" t="str">
        <f t="shared" si="25"/>
        <v>华东支社</v>
      </c>
      <c r="C28" s="2" t="str">
        <f t="shared" si="28"/>
        <v>PR 南京中央商场(C3UM)</v>
      </c>
      <c r="D28" s="2" t="str">
        <f t="shared" si="3"/>
        <v>2026</v>
      </c>
      <c r="E28" s="2" t="str">
        <f t="shared" si="4"/>
        <v>夏</v>
      </c>
      <c r="F28" s="2" t="str">
        <f t="shared" si="5"/>
        <v>一般毛衣(SWEATER)(KW)</v>
      </c>
      <c r="H28" s="2" t="str">
        <f t="shared" si="6"/>
        <v>PRKWG2303M</v>
      </c>
      <c r="I28" s="2" t="str">
        <f t="shared" si="29"/>
        <v>(99)MIX99</v>
      </c>
      <c r="J28" s="2" t="str">
        <f>"170"</f>
        <v>170</v>
      </c>
      <c r="K28" s="2" t="str">
        <f>"PRKWG2303M99170"</f>
        <v>PRKWG2303M99170</v>
      </c>
      <c r="L28" s="2" t="str">
        <f t="shared" si="8"/>
        <v>899</v>
      </c>
      <c r="M28" s="1">
        <v>2</v>
      </c>
      <c r="N28" s="1">
        <v>1798</v>
      </c>
      <c r="O28" s="1">
        <v>2</v>
      </c>
      <c r="P28" s="1">
        <v>1798</v>
      </c>
      <c r="Q28" s="1">
        <v>0</v>
      </c>
      <c r="R28" s="1">
        <v>0</v>
      </c>
      <c r="S28" s="1">
        <v>0</v>
      </c>
      <c r="T28" s="1">
        <v>0</v>
      </c>
      <c r="U28" s="1">
        <v>2</v>
      </c>
      <c r="V28" s="1">
        <v>1798</v>
      </c>
    </row>
    <row r="29" spans="1:22" x14ac:dyDescent="0.15">
      <c r="A29" s="2" t="str">
        <f t="shared" ref="A29:A32" si="30">"C3VU"</f>
        <v>C3VU</v>
      </c>
      <c r="B29" s="2" t="str">
        <f t="shared" ref="B29:B32" si="31">"重庆支社"</f>
        <v>重庆支社</v>
      </c>
      <c r="C29" s="2" t="str">
        <f t="shared" ref="C29:C32" si="32">"PR 重庆世纪新都(C3VU)"</f>
        <v>PR 重庆世纪新都(C3VU)</v>
      </c>
      <c r="D29" s="2" t="str">
        <f t="shared" si="3"/>
        <v>2026</v>
      </c>
      <c r="E29" s="2" t="str">
        <f t="shared" si="4"/>
        <v>夏</v>
      </c>
      <c r="F29" s="2" t="str">
        <f t="shared" si="5"/>
        <v>一般毛衣(SWEATER)(KW)</v>
      </c>
      <c r="H29" s="2" t="str">
        <f t="shared" si="6"/>
        <v>PRKWG2303M</v>
      </c>
      <c r="I29" s="2" t="str">
        <f t="shared" ref="I29:I34" si="33">"(99)MIX99"</f>
        <v>(99)MIX99</v>
      </c>
      <c r="J29" s="2" t="str">
        <f>"155"</f>
        <v>155</v>
      </c>
      <c r="K29" s="2" t="str">
        <f>"PRKWG2303M99155"</f>
        <v>PRKWG2303M99155</v>
      </c>
      <c r="L29" s="2" t="str">
        <f t="shared" si="8"/>
        <v>899</v>
      </c>
      <c r="M29" s="1">
        <v>1</v>
      </c>
      <c r="N29" s="1">
        <v>899</v>
      </c>
      <c r="O29" s="1">
        <v>1</v>
      </c>
      <c r="P29" s="1">
        <v>899</v>
      </c>
      <c r="Q29" s="1">
        <v>0</v>
      </c>
      <c r="R29" s="1">
        <v>0</v>
      </c>
      <c r="S29" s="1">
        <v>0</v>
      </c>
      <c r="T29" s="1">
        <v>0</v>
      </c>
      <c r="U29" s="1">
        <v>1</v>
      </c>
      <c r="V29" s="1">
        <v>899</v>
      </c>
    </row>
    <row r="30" spans="1:22" x14ac:dyDescent="0.15">
      <c r="A30" s="2" t="str">
        <f t="shared" si="30"/>
        <v>C3VU</v>
      </c>
      <c r="B30" s="2" t="str">
        <f t="shared" si="31"/>
        <v>重庆支社</v>
      </c>
      <c r="C30" s="2" t="str">
        <f t="shared" si="32"/>
        <v>PR 重庆世纪新都(C3VU)</v>
      </c>
      <c r="D30" s="2" t="str">
        <f t="shared" si="3"/>
        <v>2026</v>
      </c>
      <c r="E30" s="2" t="str">
        <f t="shared" si="4"/>
        <v>夏</v>
      </c>
      <c r="F30" s="2" t="str">
        <f t="shared" si="5"/>
        <v>一般毛衣(SWEATER)(KW)</v>
      </c>
      <c r="H30" s="2" t="str">
        <f t="shared" si="6"/>
        <v>PRKWG2303M</v>
      </c>
      <c r="I30" s="2" t="str">
        <f t="shared" si="33"/>
        <v>(99)MIX99</v>
      </c>
      <c r="J30" s="2" t="str">
        <f t="shared" ref="J30:J33" si="34">"160"</f>
        <v>160</v>
      </c>
      <c r="K30" s="2" t="str">
        <f>"PRKWG2303M99160"</f>
        <v>PRKWG2303M99160</v>
      </c>
      <c r="L30" s="2" t="str">
        <f t="shared" si="8"/>
        <v>899</v>
      </c>
      <c r="M30" s="1">
        <v>2</v>
      </c>
      <c r="N30" s="1">
        <v>1798</v>
      </c>
      <c r="O30" s="1">
        <v>2</v>
      </c>
      <c r="P30" s="1">
        <v>1798</v>
      </c>
      <c r="Q30" s="1">
        <v>0</v>
      </c>
      <c r="R30" s="1">
        <v>0</v>
      </c>
      <c r="S30" s="1">
        <v>1</v>
      </c>
      <c r="T30" s="1">
        <v>899</v>
      </c>
      <c r="U30" s="1">
        <v>3</v>
      </c>
      <c r="V30" s="1">
        <v>2697</v>
      </c>
    </row>
    <row r="31" spans="1:22" x14ac:dyDescent="0.15">
      <c r="A31" s="2" t="str">
        <f t="shared" si="30"/>
        <v>C3VU</v>
      </c>
      <c r="B31" s="2" t="str">
        <f t="shared" si="31"/>
        <v>重庆支社</v>
      </c>
      <c r="C31" s="2" t="str">
        <f t="shared" si="32"/>
        <v>PR 重庆世纪新都(C3VU)</v>
      </c>
      <c r="D31" s="2" t="str">
        <f t="shared" si="3"/>
        <v>2026</v>
      </c>
      <c r="E31" s="2" t="str">
        <f t="shared" si="4"/>
        <v>夏</v>
      </c>
      <c r="F31" s="2" t="str">
        <f t="shared" si="5"/>
        <v>一般毛衣(SWEATER)(KW)</v>
      </c>
      <c r="H31" s="2" t="str">
        <f t="shared" si="6"/>
        <v>PRKWG2303M</v>
      </c>
      <c r="I31" s="2" t="str">
        <f t="shared" si="33"/>
        <v>(99)MIX99</v>
      </c>
      <c r="J31" s="2" t="str">
        <f t="shared" ref="J31:J34" si="35">"165"</f>
        <v>165</v>
      </c>
      <c r="K31" s="2" t="str">
        <f>"PRKWG2303M99165"</f>
        <v>PRKWG2303M99165</v>
      </c>
      <c r="L31" s="2" t="str">
        <f t="shared" si="8"/>
        <v>899</v>
      </c>
      <c r="M31" s="1">
        <v>2</v>
      </c>
      <c r="N31" s="1">
        <v>1798</v>
      </c>
      <c r="O31" s="1">
        <v>2</v>
      </c>
      <c r="P31" s="1">
        <v>1798</v>
      </c>
      <c r="Q31" s="1">
        <v>0</v>
      </c>
      <c r="R31" s="1">
        <v>0</v>
      </c>
      <c r="S31" s="1">
        <v>0</v>
      </c>
      <c r="T31" s="1">
        <v>0</v>
      </c>
      <c r="U31" s="1">
        <v>2</v>
      </c>
      <c r="V31" s="1">
        <v>1798</v>
      </c>
    </row>
    <row r="32" spans="1:22" x14ac:dyDescent="0.15">
      <c r="A32" s="2" t="str">
        <f t="shared" si="30"/>
        <v>C3VU</v>
      </c>
      <c r="B32" s="2" t="str">
        <f t="shared" si="31"/>
        <v>重庆支社</v>
      </c>
      <c r="C32" s="2" t="str">
        <f t="shared" si="32"/>
        <v>PR 重庆世纪新都(C3VU)</v>
      </c>
      <c r="D32" s="2" t="str">
        <f t="shared" si="3"/>
        <v>2026</v>
      </c>
      <c r="E32" s="2" t="str">
        <f t="shared" si="4"/>
        <v>夏</v>
      </c>
      <c r="F32" s="2" t="str">
        <f t="shared" si="5"/>
        <v>一般毛衣(SWEATER)(KW)</v>
      </c>
      <c r="H32" s="2" t="str">
        <f t="shared" si="6"/>
        <v>PRKWG2303M</v>
      </c>
      <c r="I32" s="2" t="str">
        <f t="shared" si="33"/>
        <v>(99)MIX99</v>
      </c>
      <c r="J32" s="2" t="str">
        <f>"170"</f>
        <v>170</v>
      </c>
      <c r="K32" s="2" t="str">
        <f>"PRKWG2303M99170"</f>
        <v>PRKWG2303M99170</v>
      </c>
      <c r="L32" s="2" t="str">
        <f t="shared" si="8"/>
        <v>899</v>
      </c>
      <c r="M32" s="1">
        <v>1</v>
      </c>
      <c r="N32" s="1">
        <v>899</v>
      </c>
      <c r="O32" s="1">
        <v>1</v>
      </c>
      <c r="P32" s="1">
        <v>899</v>
      </c>
      <c r="Q32" s="1">
        <v>0</v>
      </c>
      <c r="R32" s="1">
        <v>0</v>
      </c>
      <c r="S32" s="1">
        <v>0</v>
      </c>
      <c r="T32" s="1">
        <v>0</v>
      </c>
      <c r="U32" s="1">
        <v>1</v>
      </c>
      <c r="V32" s="1">
        <v>899</v>
      </c>
    </row>
    <row r="33" spans="1:22" x14ac:dyDescent="0.15">
      <c r="A33" s="2" t="str">
        <f>"C3WS"</f>
        <v>C3WS</v>
      </c>
      <c r="B33" s="2" t="str">
        <f>"川西支社"</f>
        <v>川西支社</v>
      </c>
      <c r="C33" s="2" t="str">
        <f>"PR 成都时尚百盛(C3WS)"</f>
        <v>PR 成都时尚百盛(C3WS)</v>
      </c>
      <c r="D33" s="2" t="str">
        <f t="shared" si="3"/>
        <v>2026</v>
      </c>
      <c r="E33" s="2" t="str">
        <f t="shared" si="4"/>
        <v>夏</v>
      </c>
      <c r="F33" s="2" t="str">
        <f t="shared" si="5"/>
        <v>一般毛衣(SWEATER)(KW)</v>
      </c>
      <c r="H33" s="2" t="str">
        <f t="shared" si="6"/>
        <v>PRKWG2303M</v>
      </c>
      <c r="I33" s="2" t="str">
        <f t="shared" si="33"/>
        <v>(99)MIX99</v>
      </c>
      <c r="J33" s="2" t="str">
        <f t="shared" si="34"/>
        <v>160</v>
      </c>
      <c r="K33" s="2" t="str">
        <f>"PRKWG2303M99160"</f>
        <v>PRKWG2303M99160</v>
      </c>
      <c r="L33" s="2" t="str">
        <f t="shared" si="8"/>
        <v>899</v>
      </c>
      <c r="M33" s="1">
        <v>2</v>
      </c>
      <c r="N33" s="1">
        <v>1798</v>
      </c>
      <c r="O33" s="1">
        <v>2</v>
      </c>
      <c r="P33" s="1">
        <v>1798</v>
      </c>
      <c r="Q33" s="1">
        <v>0</v>
      </c>
      <c r="R33" s="1">
        <v>0</v>
      </c>
      <c r="S33" s="1">
        <v>0</v>
      </c>
      <c r="T33" s="1">
        <v>0</v>
      </c>
      <c r="U33" s="1">
        <v>2</v>
      </c>
      <c r="V33" s="1">
        <v>1798</v>
      </c>
    </row>
    <row r="34" spans="1:22" x14ac:dyDescent="0.15">
      <c r="A34" s="2" t="str">
        <f>"C3WS"</f>
        <v>C3WS</v>
      </c>
      <c r="B34" s="2" t="str">
        <f>"川西支社"</f>
        <v>川西支社</v>
      </c>
      <c r="C34" s="2" t="str">
        <f>"PR 成都时尚百盛(C3WS)"</f>
        <v>PR 成都时尚百盛(C3WS)</v>
      </c>
      <c r="D34" s="2" t="str">
        <f t="shared" si="3"/>
        <v>2026</v>
      </c>
      <c r="E34" s="2" t="str">
        <f t="shared" si="4"/>
        <v>夏</v>
      </c>
      <c r="F34" s="2" t="str">
        <f t="shared" si="5"/>
        <v>一般毛衣(SWEATER)(KW)</v>
      </c>
      <c r="H34" s="2" t="str">
        <f t="shared" si="6"/>
        <v>PRKWG2303M</v>
      </c>
      <c r="I34" s="2" t="str">
        <f t="shared" si="33"/>
        <v>(99)MIX99</v>
      </c>
      <c r="J34" s="2" t="str">
        <f t="shared" si="35"/>
        <v>165</v>
      </c>
      <c r="K34" s="2" t="str">
        <f>"PRKWG2303M99165"</f>
        <v>PRKWG2303M99165</v>
      </c>
      <c r="L34" s="2" t="str">
        <f t="shared" si="8"/>
        <v>899</v>
      </c>
      <c r="M34" s="1">
        <v>1</v>
      </c>
      <c r="N34" s="1">
        <v>899</v>
      </c>
      <c r="O34" s="1">
        <v>1</v>
      </c>
      <c r="P34" s="1">
        <v>899</v>
      </c>
      <c r="Q34" s="1">
        <v>0</v>
      </c>
      <c r="R34" s="1">
        <v>0</v>
      </c>
      <c r="S34" s="1">
        <v>0</v>
      </c>
      <c r="T34" s="1">
        <v>0</v>
      </c>
      <c r="U34" s="1">
        <v>1</v>
      </c>
      <c r="V34" s="1">
        <v>899</v>
      </c>
    </row>
    <row r="35" spans="1:22" x14ac:dyDescent="0.15">
      <c r="A35" s="2" t="str">
        <f t="shared" ref="A35:A38" si="36">"C3ZL"</f>
        <v>C3ZL</v>
      </c>
      <c r="B35" s="2" t="str">
        <f t="shared" ref="B35:B38" si="37">"华南支社"</f>
        <v>华南支社</v>
      </c>
      <c r="C35" s="2" t="str">
        <f t="shared" ref="C35:C38" si="38">"PR 深圳华强茂业(C3ZL)"</f>
        <v>PR 深圳华强茂业(C3ZL)</v>
      </c>
      <c r="D35" s="2" t="str">
        <f t="shared" si="3"/>
        <v>2026</v>
      </c>
      <c r="E35" s="2" t="str">
        <f t="shared" si="4"/>
        <v>夏</v>
      </c>
      <c r="F35" s="2" t="str">
        <f t="shared" si="5"/>
        <v>一般毛衣(SWEATER)(KW)</v>
      </c>
      <c r="H35" s="2" t="str">
        <f t="shared" si="6"/>
        <v>PRKWG2303M</v>
      </c>
      <c r="I35" s="2" t="str">
        <f t="shared" ref="I35:I38" si="39">"(99)MIX99"</f>
        <v>(99)MIX99</v>
      </c>
      <c r="J35" s="2" t="str">
        <f>"155"</f>
        <v>155</v>
      </c>
      <c r="K35" s="2" t="str">
        <f>"PRKWG2303M99155"</f>
        <v>PRKWG2303M99155</v>
      </c>
      <c r="L35" s="2" t="str">
        <f t="shared" si="8"/>
        <v>899</v>
      </c>
      <c r="M35" s="1">
        <v>1</v>
      </c>
      <c r="N35" s="1">
        <v>899</v>
      </c>
      <c r="O35" s="1">
        <v>1</v>
      </c>
      <c r="P35" s="1">
        <v>899</v>
      </c>
      <c r="Q35" s="1">
        <v>0</v>
      </c>
      <c r="R35" s="1">
        <v>0</v>
      </c>
      <c r="S35" s="1">
        <v>0</v>
      </c>
      <c r="T35" s="1">
        <v>0</v>
      </c>
      <c r="U35" s="1">
        <v>1</v>
      </c>
      <c r="V35" s="1">
        <v>899</v>
      </c>
    </row>
    <row r="36" spans="1:22" x14ac:dyDescent="0.15">
      <c r="A36" s="2" t="str">
        <f t="shared" si="36"/>
        <v>C3ZL</v>
      </c>
      <c r="B36" s="2" t="str">
        <f t="shared" si="37"/>
        <v>华南支社</v>
      </c>
      <c r="C36" s="2" t="str">
        <f t="shared" si="38"/>
        <v>PR 深圳华强茂业(C3ZL)</v>
      </c>
      <c r="D36" s="2" t="str">
        <f t="shared" si="3"/>
        <v>2026</v>
      </c>
      <c r="E36" s="2" t="str">
        <f t="shared" si="4"/>
        <v>夏</v>
      </c>
      <c r="F36" s="2" t="str">
        <f t="shared" si="5"/>
        <v>一般毛衣(SWEATER)(KW)</v>
      </c>
      <c r="H36" s="2" t="str">
        <f t="shared" si="6"/>
        <v>PRKWG2303M</v>
      </c>
      <c r="I36" s="2" t="str">
        <f t="shared" si="39"/>
        <v>(99)MIX99</v>
      </c>
      <c r="J36" s="2" t="str">
        <f>"160"</f>
        <v>160</v>
      </c>
      <c r="K36" s="2" t="str">
        <f>"PRKWG2303M99160"</f>
        <v>PRKWG2303M99160</v>
      </c>
      <c r="L36" s="2" t="str">
        <f t="shared" si="8"/>
        <v>899</v>
      </c>
      <c r="M36" s="1">
        <v>5</v>
      </c>
      <c r="N36" s="1">
        <v>4495</v>
      </c>
      <c r="O36" s="1">
        <v>5</v>
      </c>
      <c r="P36" s="1">
        <v>4495</v>
      </c>
      <c r="Q36" s="1">
        <v>0</v>
      </c>
      <c r="R36" s="1">
        <v>0</v>
      </c>
      <c r="S36" s="1">
        <v>1</v>
      </c>
      <c r="T36" s="1">
        <v>899</v>
      </c>
      <c r="U36" s="1">
        <v>6</v>
      </c>
      <c r="V36" s="1">
        <v>5394</v>
      </c>
    </row>
    <row r="37" spans="1:22" x14ac:dyDescent="0.15">
      <c r="A37" s="2" t="str">
        <f t="shared" si="36"/>
        <v>C3ZL</v>
      </c>
      <c r="B37" s="2" t="str">
        <f t="shared" si="37"/>
        <v>华南支社</v>
      </c>
      <c r="C37" s="2" t="str">
        <f t="shared" si="38"/>
        <v>PR 深圳华强茂业(C3ZL)</v>
      </c>
      <c r="D37" s="2" t="str">
        <f t="shared" si="3"/>
        <v>2026</v>
      </c>
      <c r="E37" s="2" t="str">
        <f t="shared" si="4"/>
        <v>夏</v>
      </c>
      <c r="F37" s="2" t="str">
        <f t="shared" si="5"/>
        <v>一般毛衣(SWEATER)(KW)</v>
      </c>
      <c r="H37" s="2" t="str">
        <f t="shared" si="6"/>
        <v>PRKWG2303M</v>
      </c>
      <c r="I37" s="2" t="str">
        <f t="shared" si="39"/>
        <v>(99)MIX99</v>
      </c>
      <c r="J37" s="2" t="str">
        <f>"165"</f>
        <v>165</v>
      </c>
      <c r="K37" s="2" t="str">
        <f>"PRKWG2303M99165"</f>
        <v>PRKWG2303M99165</v>
      </c>
      <c r="L37" s="2" t="str">
        <f t="shared" si="8"/>
        <v>899</v>
      </c>
      <c r="M37" s="1">
        <v>8</v>
      </c>
      <c r="N37" s="1">
        <v>7192</v>
      </c>
      <c r="O37" s="1">
        <v>8</v>
      </c>
      <c r="P37" s="1">
        <v>7192</v>
      </c>
      <c r="Q37" s="1">
        <v>0</v>
      </c>
      <c r="R37" s="1">
        <v>0</v>
      </c>
      <c r="S37" s="1">
        <v>0</v>
      </c>
      <c r="T37" s="1">
        <v>0</v>
      </c>
      <c r="U37" s="1">
        <v>8</v>
      </c>
      <c r="V37" s="1">
        <v>7192</v>
      </c>
    </row>
    <row r="38" spans="1:22" x14ac:dyDescent="0.15">
      <c r="A38" s="2" t="str">
        <f t="shared" si="36"/>
        <v>C3ZL</v>
      </c>
      <c r="B38" s="2" t="str">
        <f t="shared" si="37"/>
        <v>华南支社</v>
      </c>
      <c r="C38" s="2" t="str">
        <f t="shared" si="38"/>
        <v>PR 深圳华强茂业(C3ZL)</v>
      </c>
      <c r="D38" s="2" t="str">
        <f t="shared" si="3"/>
        <v>2026</v>
      </c>
      <c r="E38" s="2" t="str">
        <f t="shared" si="4"/>
        <v>夏</v>
      </c>
      <c r="F38" s="2" t="str">
        <f t="shared" si="5"/>
        <v>一般毛衣(SWEATER)(KW)</v>
      </c>
      <c r="H38" s="2" t="str">
        <f t="shared" si="6"/>
        <v>PRKWG2303M</v>
      </c>
      <c r="I38" s="2" t="str">
        <f t="shared" si="39"/>
        <v>(99)MIX99</v>
      </c>
      <c r="J38" s="2" t="str">
        <f>"170"</f>
        <v>170</v>
      </c>
      <c r="K38" s="2" t="str">
        <f>"PRKWG2303M99170"</f>
        <v>PRKWG2303M99170</v>
      </c>
      <c r="L38" s="2" t="str">
        <f t="shared" si="8"/>
        <v>899</v>
      </c>
      <c r="M38" s="1">
        <v>1</v>
      </c>
      <c r="N38" s="1">
        <v>899</v>
      </c>
      <c r="O38" s="1">
        <v>1</v>
      </c>
      <c r="P38" s="1">
        <v>899</v>
      </c>
      <c r="Q38" s="1">
        <v>0</v>
      </c>
      <c r="R38" s="1">
        <v>0</v>
      </c>
      <c r="S38" s="1">
        <v>1</v>
      </c>
      <c r="T38" s="1">
        <v>899</v>
      </c>
      <c r="U38" s="1">
        <v>2</v>
      </c>
      <c r="V38" s="1">
        <v>1798</v>
      </c>
    </row>
    <row r="39" spans="1:22" x14ac:dyDescent="0.15">
      <c r="A39" s="2" t="str">
        <f t="shared" ref="A39:A42" si="40">"C400"</f>
        <v>C400</v>
      </c>
      <c r="B39" s="2" t="str">
        <f t="shared" ref="B39:B42" si="41">"川西支社"</f>
        <v>川西支社</v>
      </c>
      <c r="C39" s="2" t="str">
        <f t="shared" ref="C39:C42" si="42">"PR 成都伊藤双楠(C400)"</f>
        <v>PR 成都伊藤双楠(C400)</v>
      </c>
      <c r="D39" s="2" t="str">
        <f t="shared" si="3"/>
        <v>2026</v>
      </c>
      <c r="E39" s="2" t="str">
        <f t="shared" si="4"/>
        <v>夏</v>
      </c>
      <c r="F39" s="2" t="str">
        <f t="shared" si="5"/>
        <v>一般毛衣(SWEATER)(KW)</v>
      </c>
      <c r="H39" s="2" t="str">
        <f t="shared" si="6"/>
        <v>PRKWG2303M</v>
      </c>
      <c r="I39" s="2" t="str">
        <f t="shared" ref="I39:I48" si="43">"(99)MIX99"</f>
        <v>(99)MIX99</v>
      </c>
      <c r="J39" s="2" t="str">
        <f>"155"</f>
        <v>155</v>
      </c>
      <c r="K39" s="2" t="str">
        <f>"PRKWG2303M99155"</f>
        <v>PRKWG2303M99155</v>
      </c>
      <c r="L39" s="2" t="str">
        <f t="shared" si="8"/>
        <v>899</v>
      </c>
      <c r="M39" s="1">
        <v>1</v>
      </c>
      <c r="N39" s="1">
        <v>899</v>
      </c>
      <c r="O39" s="1">
        <v>1</v>
      </c>
      <c r="P39" s="1">
        <v>899</v>
      </c>
      <c r="Q39" s="1">
        <v>0</v>
      </c>
      <c r="R39" s="1">
        <v>0</v>
      </c>
      <c r="S39" s="1">
        <v>0</v>
      </c>
      <c r="T39" s="1">
        <v>0</v>
      </c>
      <c r="U39" s="1">
        <v>1</v>
      </c>
      <c r="V39" s="1">
        <v>899</v>
      </c>
    </row>
    <row r="40" spans="1:22" x14ac:dyDescent="0.15">
      <c r="A40" s="2" t="str">
        <f t="shared" si="40"/>
        <v>C400</v>
      </c>
      <c r="B40" s="2" t="str">
        <f t="shared" si="41"/>
        <v>川西支社</v>
      </c>
      <c r="C40" s="2" t="str">
        <f t="shared" si="42"/>
        <v>PR 成都伊藤双楠(C400)</v>
      </c>
      <c r="D40" s="2" t="str">
        <f t="shared" si="3"/>
        <v>2026</v>
      </c>
      <c r="E40" s="2" t="str">
        <f t="shared" si="4"/>
        <v>夏</v>
      </c>
      <c r="F40" s="2" t="str">
        <f t="shared" si="5"/>
        <v>一般毛衣(SWEATER)(KW)</v>
      </c>
      <c r="H40" s="2" t="str">
        <f t="shared" si="6"/>
        <v>PRKWG2303M</v>
      </c>
      <c r="I40" s="2" t="str">
        <f t="shared" si="43"/>
        <v>(99)MIX99</v>
      </c>
      <c r="J40" s="2" t="str">
        <f>"160"</f>
        <v>160</v>
      </c>
      <c r="K40" s="2" t="str">
        <f>"PRKWG2303M99160"</f>
        <v>PRKWG2303M99160</v>
      </c>
      <c r="L40" s="2" t="str">
        <f t="shared" si="8"/>
        <v>899</v>
      </c>
      <c r="M40" s="1">
        <v>3</v>
      </c>
      <c r="N40" s="1">
        <v>2697</v>
      </c>
      <c r="O40" s="1">
        <v>3</v>
      </c>
      <c r="P40" s="1">
        <v>2697</v>
      </c>
      <c r="Q40" s="1">
        <v>0</v>
      </c>
      <c r="R40" s="1">
        <v>0</v>
      </c>
      <c r="S40" s="1">
        <v>1</v>
      </c>
      <c r="T40" s="1">
        <v>899</v>
      </c>
      <c r="U40" s="1">
        <v>4</v>
      </c>
      <c r="V40" s="1">
        <v>3596</v>
      </c>
    </row>
    <row r="41" spans="1:22" x14ac:dyDescent="0.15">
      <c r="A41" s="2" t="str">
        <f t="shared" si="40"/>
        <v>C400</v>
      </c>
      <c r="B41" s="2" t="str">
        <f t="shared" si="41"/>
        <v>川西支社</v>
      </c>
      <c r="C41" s="2" t="str">
        <f t="shared" si="42"/>
        <v>PR 成都伊藤双楠(C400)</v>
      </c>
      <c r="D41" s="2" t="str">
        <f t="shared" si="3"/>
        <v>2026</v>
      </c>
      <c r="E41" s="2" t="str">
        <f t="shared" si="4"/>
        <v>夏</v>
      </c>
      <c r="F41" s="2" t="str">
        <f t="shared" si="5"/>
        <v>一般毛衣(SWEATER)(KW)</v>
      </c>
      <c r="H41" s="2" t="str">
        <f t="shared" si="6"/>
        <v>PRKWG2303M</v>
      </c>
      <c r="I41" s="2" t="str">
        <f t="shared" si="43"/>
        <v>(99)MIX99</v>
      </c>
      <c r="J41" s="2" t="str">
        <f>"165"</f>
        <v>165</v>
      </c>
      <c r="K41" s="2" t="str">
        <f>"PRKWG2303M99165"</f>
        <v>PRKWG2303M99165</v>
      </c>
      <c r="L41" s="2" t="str">
        <f t="shared" si="8"/>
        <v>899</v>
      </c>
      <c r="M41" s="1">
        <v>2</v>
      </c>
      <c r="N41" s="1">
        <v>1798</v>
      </c>
      <c r="O41" s="1">
        <v>2</v>
      </c>
      <c r="P41" s="1">
        <v>1798</v>
      </c>
      <c r="Q41" s="1">
        <v>0</v>
      </c>
      <c r="R41" s="1">
        <v>0</v>
      </c>
      <c r="S41" s="1">
        <v>0</v>
      </c>
      <c r="T41" s="1">
        <v>0</v>
      </c>
      <c r="U41" s="1">
        <v>2</v>
      </c>
      <c r="V41" s="1">
        <v>1798</v>
      </c>
    </row>
    <row r="42" spans="1:22" x14ac:dyDescent="0.15">
      <c r="A42" s="2" t="str">
        <f t="shared" si="40"/>
        <v>C400</v>
      </c>
      <c r="B42" s="2" t="str">
        <f t="shared" si="41"/>
        <v>川西支社</v>
      </c>
      <c r="C42" s="2" t="str">
        <f t="shared" si="42"/>
        <v>PR 成都伊藤双楠(C400)</v>
      </c>
      <c r="D42" s="2" t="str">
        <f t="shared" si="3"/>
        <v>2026</v>
      </c>
      <c r="E42" s="2" t="str">
        <f t="shared" si="4"/>
        <v>夏</v>
      </c>
      <c r="F42" s="2" t="str">
        <f t="shared" si="5"/>
        <v>一般毛衣(SWEATER)(KW)</v>
      </c>
      <c r="H42" s="2" t="str">
        <f t="shared" si="6"/>
        <v>PRKWG2303M</v>
      </c>
      <c r="I42" s="2" t="str">
        <f t="shared" si="43"/>
        <v>(99)MIX99</v>
      </c>
      <c r="J42" s="2" t="str">
        <f>"170"</f>
        <v>170</v>
      </c>
      <c r="K42" s="2" t="str">
        <f>"PRKWG2303M99170"</f>
        <v>PRKWG2303M99170</v>
      </c>
      <c r="L42" s="2" t="str">
        <f t="shared" si="8"/>
        <v>899</v>
      </c>
      <c r="M42" s="1">
        <v>2</v>
      </c>
      <c r="N42" s="1">
        <v>1798</v>
      </c>
      <c r="O42" s="1">
        <v>2</v>
      </c>
      <c r="P42" s="1">
        <v>1798</v>
      </c>
      <c r="Q42" s="1">
        <v>0</v>
      </c>
      <c r="R42" s="1">
        <v>0</v>
      </c>
      <c r="S42" s="1">
        <v>0</v>
      </c>
      <c r="T42" s="1">
        <v>0</v>
      </c>
      <c r="U42" s="1">
        <v>2</v>
      </c>
      <c r="V42" s="1">
        <v>1798</v>
      </c>
    </row>
    <row r="43" spans="1:22" x14ac:dyDescent="0.15">
      <c r="A43" s="2" t="str">
        <f t="shared" ref="A43:A45" si="44">"C42K"</f>
        <v>C42K</v>
      </c>
      <c r="B43" s="2" t="str">
        <f t="shared" ref="B43:B45" si="45">"华东支社"</f>
        <v>华东支社</v>
      </c>
      <c r="C43" s="2" t="str">
        <f t="shared" ref="C43:C45" si="46">"PR 扬州金鹰(C42K)"</f>
        <v>PR 扬州金鹰(C42K)</v>
      </c>
      <c r="D43" s="2" t="str">
        <f t="shared" si="3"/>
        <v>2026</v>
      </c>
      <c r="E43" s="2" t="str">
        <f t="shared" si="4"/>
        <v>夏</v>
      </c>
      <c r="F43" s="2" t="str">
        <f t="shared" si="5"/>
        <v>一般毛衣(SWEATER)(KW)</v>
      </c>
      <c r="H43" s="2" t="str">
        <f t="shared" si="6"/>
        <v>PRKWG2303M</v>
      </c>
      <c r="I43" s="2" t="str">
        <f t="shared" si="43"/>
        <v>(99)MIX99</v>
      </c>
      <c r="J43" s="2" t="str">
        <f>"160"</f>
        <v>160</v>
      </c>
      <c r="K43" s="2" t="str">
        <f>"PRKWG2303M99160"</f>
        <v>PRKWG2303M99160</v>
      </c>
      <c r="L43" s="2" t="str">
        <f t="shared" si="8"/>
        <v>899</v>
      </c>
      <c r="M43" s="1">
        <v>1</v>
      </c>
      <c r="N43" s="1">
        <v>899</v>
      </c>
      <c r="O43" s="1">
        <v>1</v>
      </c>
      <c r="P43" s="1">
        <v>899</v>
      </c>
      <c r="Q43" s="1">
        <v>0</v>
      </c>
      <c r="R43" s="1">
        <v>0</v>
      </c>
      <c r="S43" s="1">
        <v>0</v>
      </c>
      <c r="T43" s="1">
        <v>0</v>
      </c>
      <c r="U43" s="1">
        <v>1</v>
      </c>
      <c r="V43" s="1">
        <v>899</v>
      </c>
    </row>
    <row r="44" spans="1:22" x14ac:dyDescent="0.15">
      <c r="A44" s="2" t="str">
        <f t="shared" si="44"/>
        <v>C42K</v>
      </c>
      <c r="B44" s="2" t="str">
        <f t="shared" si="45"/>
        <v>华东支社</v>
      </c>
      <c r="C44" s="2" t="str">
        <f t="shared" si="46"/>
        <v>PR 扬州金鹰(C42K)</v>
      </c>
      <c r="D44" s="2" t="str">
        <f t="shared" si="3"/>
        <v>2026</v>
      </c>
      <c r="E44" s="2" t="str">
        <f t="shared" si="4"/>
        <v>夏</v>
      </c>
      <c r="F44" s="2" t="str">
        <f t="shared" si="5"/>
        <v>一般毛衣(SWEATER)(KW)</v>
      </c>
      <c r="H44" s="2" t="str">
        <f t="shared" si="6"/>
        <v>PRKWG2303M</v>
      </c>
      <c r="I44" s="2" t="str">
        <f t="shared" si="43"/>
        <v>(99)MIX99</v>
      </c>
      <c r="J44" s="2" t="str">
        <f>"165"</f>
        <v>165</v>
      </c>
      <c r="K44" s="2" t="str">
        <f>"PRKWG2303M99165"</f>
        <v>PRKWG2303M99165</v>
      </c>
      <c r="L44" s="2" t="str">
        <f t="shared" si="8"/>
        <v>899</v>
      </c>
      <c r="M44" s="1">
        <v>2</v>
      </c>
      <c r="N44" s="1">
        <v>1798</v>
      </c>
      <c r="O44" s="1">
        <v>2</v>
      </c>
      <c r="P44" s="1">
        <v>1798</v>
      </c>
      <c r="Q44" s="1">
        <v>0</v>
      </c>
      <c r="R44" s="1">
        <v>0</v>
      </c>
      <c r="S44" s="1">
        <v>0</v>
      </c>
      <c r="T44" s="1">
        <v>0</v>
      </c>
      <c r="U44" s="1">
        <v>2</v>
      </c>
      <c r="V44" s="1">
        <v>1798</v>
      </c>
    </row>
    <row r="45" spans="1:22" x14ac:dyDescent="0.15">
      <c r="A45" s="2" t="str">
        <f t="shared" si="44"/>
        <v>C42K</v>
      </c>
      <c r="B45" s="2" t="str">
        <f t="shared" si="45"/>
        <v>华东支社</v>
      </c>
      <c r="C45" s="2" t="str">
        <f t="shared" si="46"/>
        <v>PR 扬州金鹰(C42K)</v>
      </c>
      <c r="D45" s="2" t="str">
        <f t="shared" si="3"/>
        <v>2026</v>
      </c>
      <c r="E45" s="2" t="str">
        <f t="shared" si="4"/>
        <v>夏</v>
      </c>
      <c r="F45" s="2" t="str">
        <f t="shared" si="5"/>
        <v>一般毛衣(SWEATER)(KW)</v>
      </c>
      <c r="H45" s="2" t="str">
        <f t="shared" si="6"/>
        <v>PRKWG2303M</v>
      </c>
      <c r="I45" s="2" t="str">
        <f t="shared" si="43"/>
        <v>(99)MIX99</v>
      </c>
      <c r="J45" s="2" t="str">
        <f>"170"</f>
        <v>170</v>
      </c>
      <c r="K45" s="2" t="str">
        <f>"PRKWG2303M99170"</f>
        <v>PRKWG2303M99170</v>
      </c>
      <c r="L45" s="2" t="str">
        <f t="shared" si="8"/>
        <v>899</v>
      </c>
      <c r="M45" s="1">
        <v>0</v>
      </c>
      <c r="N45" s="1">
        <v>0</v>
      </c>
      <c r="O45" s="1">
        <v>0</v>
      </c>
      <c r="P45" s="1">
        <v>0</v>
      </c>
      <c r="Q45" s="1">
        <v>0</v>
      </c>
      <c r="R45" s="1">
        <v>0</v>
      </c>
      <c r="S45" s="1">
        <v>1</v>
      </c>
      <c r="T45" s="1">
        <v>899</v>
      </c>
      <c r="U45" s="1">
        <v>1</v>
      </c>
      <c r="V45" s="1">
        <v>899</v>
      </c>
    </row>
    <row r="46" spans="1:22" x14ac:dyDescent="0.15">
      <c r="A46" s="2" t="str">
        <f t="shared" ref="A46:A48" si="47">"C43M"</f>
        <v>C43M</v>
      </c>
      <c r="B46" s="2" t="str">
        <f t="shared" ref="B46:B48" si="48">"上海支社"</f>
        <v>上海支社</v>
      </c>
      <c r="C46" s="2" t="str">
        <f t="shared" ref="C46:C48" si="49">"PR 南通文峰(C43M)"</f>
        <v>PR 南通文峰(C43M)</v>
      </c>
      <c r="D46" s="2" t="str">
        <f t="shared" si="3"/>
        <v>2026</v>
      </c>
      <c r="E46" s="2" t="str">
        <f t="shared" si="4"/>
        <v>夏</v>
      </c>
      <c r="F46" s="2" t="str">
        <f t="shared" si="5"/>
        <v>一般毛衣(SWEATER)(KW)</v>
      </c>
      <c r="H46" s="2" t="str">
        <f t="shared" si="6"/>
        <v>PRKWG2303M</v>
      </c>
      <c r="I46" s="2" t="str">
        <f t="shared" si="43"/>
        <v>(99)MIX99</v>
      </c>
      <c r="J46" s="2" t="str">
        <f>"160"</f>
        <v>160</v>
      </c>
      <c r="K46" s="2" t="str">
        <f>"PRKWG2303M99160"</f>
        <v>PRKWG2303M99160</v>
      </c>
      <c r="L46" s="2" t="str">
        <f t="shared" si="8"/>
        <v>899</v>
      </c>
      <c r="M46" s="1">
        <v>1</v>
      </c>
      <c r="N46" s="1">
        <v>899</v>
      </c>
      <c r="O46" s="1">
        <v>1</v>
      </c>
      <c r="P46" s="1">
        <v>899</v>
      </c>
      <c r="Q46" s="1">
        <v>0</v>
      </c>
      <c r="R46" s="1">
        <v>0</v>
      </c>
      <c r="S46" s="1">
        <v>0</v>
      </c>
      <c r="T46" s="1">
        <v>0</v>
      </c>
      <c r="U46" s="1">
        <v>1</v>
      </c>
      <c r="V46" s="1">
        <v>899</v>
      </c>
    </row>
    <row r="47" spans="1:22" x14ac:dyDescent="0.15">
      <c r="A47" s="2" t="str">
        <f t="shared" si="47"/>
        <v>C43M</v>
      </c>
      <c r="B47" s="2" t="str">
        <f t="shared" si="48"/>
        <v>上海支社</v>
      </c>
      <c r="C47" s="2" t="str">
        <f t="shared" si="49"/>
        <v>PR 南通文峰(C43M)</v>
      </c>
      <c r="D47" s="2" t="str">
        <f t="shared" si="3"/>
        <v>2026</v>
      </c>
      <c r="E47" s="2" t="str">
        <f t="shared" si="4"/>
        <v>夏</v>
      </c>
      <c r="F47" s="2" t="str">
        <f t="shared" si="5"/>
        <v>一般毛衣(SWEATER)(KW)</v>
      </c>
      <c r="H47" s="2" t="str">
        <f t="shared" si="6"/>
        <v>PRKWG2303M</v>
      </c>
      <c r="I47" s="2" t="str">
        <f t="shared" si="43"/>
        <v>(99)MIX99</v>
      </c>
      <c r="J47" s="2" t="str">
        <f>"165"</f>
        <v>165</v>
      </c>
      <c r="K47" s="2" t="str">
        <f>"PRKWG2303M99165"</f>
        <v>PRKWG2303M99165</v>
      </c>
      <c r="L47" s="2" t="str">
        <f t="shared" si="8"/>
        <v>899</v>
      </c>
      <c r="M47" s="1">
        <v>2</v>
      </c>
      <c r="N47" s="1">
        <v>1798</v>
      </c>
      <c r="O47" s="1">
        <v>2</v>
      </c>
      <c r="P47" s="1">
        <v>1798</v>
      </c>
      <c r="Q47" s="1">
        <v>0</v>
      </c>
      <c r="R47" s="1">
        <v>0</v>
      </c>
      <c r="S47" s="1">
        <v>0</v>
      </c>
      <c r="T47" s="1">
        <v>0</v>
      </c>
      <c r="U47" s="1">
        <v>2</v>
      </c>
      <c r="V47" s="1">
        <v>1798</v>
      </c>
    </row>
    <row r="48" spans="1:22" x14ac:dyDescent="0.15">
      <c r="A48" s="2" t="str">
        <f t="shared" si="47"/>
        <v>C43M</v>
      </c>
      <c r="B48" s="2" t="str">
        <f t="shared" si="48"/>
        <v>上海支社</v>
      </c>
      <c r="C48" s="2" t="str">
        <f t="shared" si="49"/>
        <v>PR 南通文峰(C43M)</v>
      </c>
      <c r="D48" s="2" t="str">
        <f t="shared" si="3"/>
        <v>2026</v>
      </c>
      <c r="E48" s="2" t="str">
        <f t="shared" si="4"/>
        <v>夏</v>
      </c>
      <c r="F48" s="2" t="str">
        <f t="shared" si="5"/>
        <v>一般毛衣(SWEATER)(KW)</v>
      </c>
      <c r="H48" s="2" t="str">
        <f t="shared" si="6"/>
        <v>PRKWG2303M</v>
      </c>
      <c r="I48" s="2" t="str">
        <f t="shared" si="43"/>
        <v>(99)MIX99</v>
      </c>
      <c r="J48" s="2" t="str">
        <f>"170"</f>
        <v>170</v>
      </c>
      <c r="K48" s="2" t="str">
        <f>"PRKWG2303M99170"</f>
        <v>PRKWG2303M99170</v>
      </c>
      <c r="L48" s="2" t="str">
        <f t="shared" si="8"/>
        <v>899</v>
      </c>
      <c r="M48" s="1">
        <v>1</v>
      </c>
      <c r="N48" s="1">
        <v>899</v>
      </c>
      <c r="O48" s="1">
        <v>1</v>
      </c>
      <c r="P48" s="1">
        <v>899</v>
      </c>
      <c r="Q48" s="1">
        <v>0</v>
      </c>
      <c r="R48" s="1">
        <v>0</v>
      </c>
      <c r="S48" s="1">
        <v>0</v>
      </c>
      <c r="T48" s="1">
        <v>0</v>
      </c>
      <c r="U48" s="1">
        <v>1</v>
      </c>
      <c r="V48" s="1">
        <v>899</v>
      </c>
    </row>
    <row r="49" spans="1:22" x14ac:dyDescent="0.15">
      <c r="A49" s="2" t="str">
        <f t="shared" ref="A49" si="50">"C484"</f>
        <v>C484</v>
      </c>
      <c r="B49" s="2" t="str">
        <f t="shared" ref="B49" si="51">"浙江支社"</f>
        <v>浙江支社</v>
      </c>
      <c r="C49" s="2" t="str">
        <f t="shared" ref="C49" si="52">"PR 湖州浙北(C484)"</f>
        <v>PR 湖州浙北(C484)</v>
      </c>
      <c r="D49" s="2" t="str">
        <f t="shared" si="3"/>
        <v>2026</v>
      </c>
      <c r="E49" s="2" t="str">
        <f t="shared" si="4"/>
        <v>夏</v>
      </c>
      <c r="F49" s="2" t="str">
        <f t="shared" si="5"/>
        <v>一般毛衣(SWEATER)(KW)</v>
      </c>
      <c r="H49" s="2" t="str">
        <f t="shared" si="6"/>
        <v>PRKWG2303M</v>
      </c>
      <c r="I49" s="2" t="str">
        <f t="shared" ref="I49:I57" si="53">"(99)MIX99"</f>
        <v>(99)MIX99</v>
      </c>
      <c r="J49" s="2" t="str">
        <f>"170"</f>
        <v>170</v>
      </c>
      <c r="K49" s="2" t="str">
        <f>"PRKWG2303M99170"</f>
        <v>PRKWG2303M99170</v>
      </c>
      <c r="L49" s="2" t="str">
        <f t="shared" si="8"/>
        <v>899</v>
      </c>
      <c r="M49" s="1">
        <v>1</v>
      </c>
      <c r="N49" s="1">
        <v>899</v>
      </c>
      <c r="O49" s="1">
        <v>1</v>
      </c>
      <c r="P49" s="1">
        <v>899</v>
      </c>
      <c r="Q49" s="1">
        <v>0</v>
      </c>
      <c r="R49" s="1">
        <v>0</v>
      </c>
      <c r="S49" s="1">
        <v>0</v>
      </c>
      <c r="T49" s="1">
        <v>0</v>
      </c>
      <c r="U49" s="1">
        <v>1</v>
      </c>
      <c r="V49" s="1">
        <v>899</v>
      </c>
    </row>
    <row r="50" spans="1:22" x14ac:dyDescent="0.15">
      <c r="A50" s="2" t="str">
        <f t="shared" ref="A50:A52" si="54">"C4LS"</f>
        <v>C4LS</v>
      </c>
      <c r="B50" s="2" t="str">
        <f t="shared" ref="B50:B52" si="55">"河南支社"</f>
        <v>河南支社</v>
      </c>
      <c r="C50" s="2" t="str">
        <f t="shared" ref="C50:C52" si="56">"PR 郑州丹尼斯花园店(C4LS)"</f>
        <v>PR 郑州丹尼斯花园店(C4LS)</v>
      </c>
      <c r="D50" s="2" t="str">
        <f t="shared" si="3"/>
        <v>2026</v>
      </c>
      <c r="E50" s="2" t="str">
        <f t="shared" si="4"/>
        <v>夏</v>
      </c>
      <c r="F50" s="2" t="str">
        <f t="shared" si="5"/>
        <v>一般毛衣(SWEATER)(KW)</v>
      </c>
      <c r="H50" s="2" t="str">
        <f t="shared" si="6"/>
        <v>PRKWG2303M</v>
      </c>
      <c r="I50" s="2" t="str">
        <f t="shared" si="53"/>
        <v>(99)MIX99</v>
      </c>
      <c r="J50" s="2" t="str">
        <f t="shared" ref="J50:J55" si="57">"160"</f>
        <v>160</v>
      </c>
      <c r="K50" s="2" t="str">
        <f t="shared" ref="K50:K55" si="58">"PRKWG2303M99160"</f>
        <v>PRKWG2303M99160</v>
      </c>
      <c r="L50" s="2" t="str">
        <f t="shared" si="8"/>
        <v>899</v>
      </c>
      <c r="M50" s="1">
        <v>2</v>
      </c>
      <c r="N50" s="1">
        <v>1798</v>
      </c>
      <c r="O50" s="1">
        <v>2</v>
      </c>
      <c r="P50" s="1">
        <v>1798</v>
      </c>
      <c r="Q50" s="1">
        <v>0</v>
      </c>
      <c r="R50" s="1">
        <v>0</v>
      </c>
      <c r="S50" s="1">
        <v>0</v>
      </c>
      <c r="T50" s="1">
        <v>0</v>
      </c>
      <c r="U50" s="1">
        <v>2</v>
      </c>
      <c r="V50" s="1">
        <v>1798</v>
      </c>
    </row>
    <row r="51" spans="1:22" x14ac:dyDescent="0.15">
      <c r="A51" s="2" t="str">
        <f t="shared" si="54"/>
        <v>C4LS</v>
      </c>
      <c r="B51" s="2" t="str">
        <f t="shared" si="55"/>
        <v>河南支社</v>
      </c>
      <c r="C51" s="2" t="str">
        <f t="shared" si="56"/>
        <v>PR 郑州丹尼斯花园店(C4LS)</v>
      </c>
      <c r="D51" s="2" t="str">
        <f t="shared" ref="D51:D93" si="59">"2026"</f>
        <v>2026</v>
      </c>
      <c r="E51" s="2" t="str">
        <f t="shared" ref="E51:E93" si="60">"夏"</f>
        <v>夏</v>
      </c>
      <c r="F51" s="2" t="str">
        <f t="shared" ref="F51:F93" si="61">"一般毛衣(SWEATER)(KW)"</f>
        <v>一般毛衣(SWEATER)(KW)</v>
      </c>
      <c r="H51" s="2" t="str">
        <f t="shared" ref="H51:H93" si="62">"PRKWG2303M"</f>
        <v>PRKWG2303M</v>
      </c>
      <c r="I51" s="2" t="str">
        <f t="shared" si="53"/>
        <v>(99)MIX99</v>
      </c>
      <c r="J51" s="2" t="str">
        <f t="shared" ref="J51:J56" si="63">"165"</f>
        <v>165</v>
      </c>
      <c r="K51" s="2" t="str">
        <f t="shared" ref="K51:K56" si="64">"PRKWG2303M99165"</f>
        <v>PRKWG2303M99165</v>
      </c>
      <c r="L51" s="2" t="str">
        <f t="shared" ref="L51:L93" si="65">"899"</f>
        <v>899</v>
      </c>
      <c r="M51" s="1">
        <v>1</v>
      </c>
      <c r="N51" s="1">
        <v>899</v>
      </c>
      <c r="O51" s="1">
        <v>1</v>
      </c>
      <c r="P51" s="1">
        <v>899</v>
      </c>
      <c r="Q51" s="1">
        <v>0</v>
      </c>
      <c r="R51" s="1">
        <v>0</v>
      </c>
      <c r="S51" s="1">
        <v>0</v>
      </c>
      <c r="T51" s="1">
        <v>0</v>
      </c>
      <c r="U51" s="1">
        <v>1</v>
      </c>
      <c r="V51" s="1">
        <v>899</v>
      </c>
    </row>
    <row r="52" spans="1:22" x14ac:dyDescent="0.15">
      <c r="A52" s="2" t="str">
        <f t="shared" si="54"/>
        <v>C4LS</v>
      </c>
      <c r="B52" s="2" t="str">
        <f t="shared" si="55"/>
        <v>河南支社</v>
      </c>
      <c r="C52" s="2" t="str">
        <f t="shared" si="56"/>
        <v>PR 郑州丹尼斯花园店(C4LS)</v>
      </c>
      <c r="D52" s="2" t="str">
        <f t="shared" si="59"/>
        <v>2026</v>
      </c>
      <c r="E52" s="2" t="str">
        <f t="shared" si="60"/>
        <v>夏</v>
      </c>
      <c r="F52" s="2" t="str">
        <f t="shared" si="61"/>
        <v>一般毛衣(SWEATER)(KW)</v>
      </c>
      <c r="H52" s="2" t="str">
        <f t="shared" si="62"/>
        <v>PRKWG2303M</v>
      </c>
      <c r="I52" s="2" t="str">
        <f t="shared" si="53"/>
        <v>(99)MIX99</v>
      </c>
      <c r="J52" s="2" t="str">
        <f>"170"</f>
        <v>170</v>
      </c>
      <c r="K52" s="2" t="str">
        <f>"PRKWG2303M99170"</f>
        <v>PRKWG2303M99170</v>
      </c>
      <c r="L52" s="2" t="str">
        <f t="shared" si="65"/>
        <v>899</v>
      </c>
      <c r="M52" s="1">
        <v>1</v>
      </c>
      <c r="N52" s="1">
        <v>899</v>
      </c>
      <c r="O52" s="1">
        <v>1</v>
      </c>
      <c r="P52" s="1">
        <v>899</v>
      </c>
      <c r="Q52" s="1">
        <v>0</v>
      </c>
      <c r="R52" s="1">
        <v>0</v>
      </c>
      <c r="S52" s="1">
        <v>0</v>
      </c>
      <c r="T52" s="1">
        <v>0</v>
      </c>
      <c r="U52" s="1">
        <v>1</v>
      </c>
      <c r="V52" s="1">
        <v>899</v>
      </c>
    </row>
    <row r="53" spans="1:22" x14ac:dyDescent="0.15">
      <c r="A53" s="2" t="str">
        <f>"C4RB"</f>
        <v>C4RB</v>
      </c>
      <c r="B53" s="2" t="str">
        <f>"华北支社"</f>
        <v>华北支社</v>
      </c>
      <c r="C53" s="2" t="str">
        <f>"PR 石家庄新百(C4RB)"</f>
        <v>PR 石家庄新百(C4RB)</v>
      </c>
      <c r="D53" s="2" t="str">
        <f t="shared" si="59"/>
        <v>2026</v>
      </c>
      <c r="E53" s="2" t="str">
        <f t="shared" si="60"/>
        <v>夏</v>
      </c>
      <c r="F53" s="2" t="str">
        <f t="shared" si="61"/>
        <v>一般毛衣(SWEATER)(KW)</v>
      </c>
      <c r="H53" s="2" t="str">
        <f t="shared" si="62"/>
        <v>PRKWG2303M</v>
      </c>
      <c r="I53" s="2" t="str">
        <f t="shared" si="53"/>
        <v>(99)MIX99</v>
      </c>
      <c r="J53" s="2" t="str">
        <f t="shared" si="57"/>
        <v>160</v>
      </c>
      <c r="K53" s="2" t="str">
        <f t="shared" si="58"/>
        <v>PRKWG2303M99160</v>
      </c>
      <c r="L53" s="2" t="str">
        <f t="shared" si="65"/>
        <v>899</v>
      </c>
      <c r="M53" s="1">
        <v>2</v>
      </c>
      <c r="N53" s="1">
        <v>1798</v>
      </c>
      <c r="O53" s="1">
        <v>2</v>
      </c>
      <c r="P53" s="1">
        <v>1798</v>
      </c>
      <c r="Q53" s="1">
        <v>0</v>
      </c>
      <c r="R53" s="1">
        <v>0</v>
      </c>
      <c r="S53" s="1">
        <v>0</v>
      </c>
      <c r="T53" s="1">
        <v>0</v>
      </c>
      <c r="U53" s="1">
        <v>2</v>
      </c>
      <c r="V53" s="1">
        <v>1798</v>
      </c>
    </row>
    <row r="54" spans="1:22" x14ac:dyDescent="0.15">
      <c r="A54" s="2" t="str">
        <f>"C4RB"</f>
        <v>C4RB</v>
      </c>
      <c r="B54" s="2" t="str">
        <f>"华北支社"</f>
        <v>华北支社</v>
      </c>
      <c r="C54" s="2" t="str">
        <f>"PR 石家庄新百(C4RB)"</f>
        <v>PR 石家庄新百(C4RB)</v>
      </c>
      <c r="D54" s="2" t="str">
        <f t="shared" si="59"/>
        <v>2026</v>
      </c>
      <c r="E54" s="2" t="str">
        <f t="shared" si="60"/>
        <v>夏</v>
      </c>
      <c r="F54" s="2" t="str">
        <f t="shared" si="61"/>
        <v>一般毛衣(SWEATER)(KW)</v>
      </c>
      <c r="H54" s="2" t="str">
        <f t="shared" si="62"/>
        <v>PRKWG2303M</v>
      </c>
      <c r="I54" s="2" t="str">
        <f t="shared" si="53"/>
        <v>(99)MIX99</v>
      </c>
      <c r="J54" s="2" t="str">
        <f t="shared" si="63"/>
        <v>165</v>
      </c>
      <c r="K54" s="2" t="str">
        <f t="shared" si="64"/>
        <v>PRKWG2303M99165</v>
      </c>
      <c r="L54" s="2" t="str">
        <f t="shared" si="65"/>
        <v>899</v>
      </c>
      <c r="M54" s="1">
        <v>2</v>
      </c>
      <c r="N54" s="1">
        <v>1798</v>
      </c>
      <c r="O54" s="1">
        <v>2</v>
      </c>
      <c r="P54" s="1">
        <v>1798</v>
      </c>
      <c r="Q54" s="1">
        <v>0</v>
      </c>
      <c r="R54" s="1">
        <v>0</v>
      </c>
      <c r="S54" s="1">
        <v>0</v>
      </c>
      <c r="T54" s="1">
        <v>0</v>
      </c>
      <c r="U54" s="1">
        <v>2</v>
      </c>
      <c r="V54" s="1">
        <v>1798</v>
      </c>
    </row>
    <row r="55" spans="1:22" x14ac:dyDescent="0.15">
      <c r="A55" s="2" t="str">
        <f t="shared" ref="A55:A57" si="66">"C4T3"</f>
        <v>C4T3</v>
      </c>
      <c r="B55" s="2" t="str">
        <f t="shared" ref="B55:B57" si="67">"华南支社"</f>
        <v>华南支社</v>
      </c>
      <c r="C55" s="2" t="str">
        <f t="shared" ref="C55:C57" si="68">"PR 广州天河城(C4T3)"</f>
        <v>PR 广州天河城(C4T3)</v>
      </c>
      <c r="D55" s="2" t="str">
        <f t="shared" si="59"/>
        <v>2026</v>
      </c>
      <c r="E55" s="2" t="str">
        <f t="shared" si="60"/>
        <v>夏</v>
      </c>
      <c r="F55" s="2" t="str">
        <f t="shared" si="61"/>
        <v>一般毛衣(SWEATER)(KW)</v>
      </c>
      <c r="H55" s="2" t="str">
        <f t="shared" si="62"/>
        <v>PRKWG2303M</v>
      </c>
      <c r="I55" s="2" t="str">
        <f t="shared" si="53"/>
        <v>(99)MIX99</v>
      </c>
      <c r="J55" s="2" t="str">
        <f t="shared" si="57"/>
        <v>160</v>
      </c>
      <c r="K55" s="2" t="str">
        <f t="shared" si="58"/>
        <v>PRKWG2303M99160</v>
      </c>
      <c r="L55" s="2" t="str">
        <f t="shared" si="65"/>
        <v>899</v>
      </c>
      <c r="M55" s="1">
        <v>2</v>
      </c>
      <c r="N55" s="1">
        <v>1798</v>
      </c>
      <c r="O55" s="1">
        <v>2</v>
      </c>
      <c r="P55" s="1">
        <v>1798</v>
      </c>
      <c r="Q55" s="1">
        <v>0</v>
      </c>
      <c r="R55" s="1">
        <v>0</v>
      </c>
      <c r="S55" s="1">
        <v>0</v>
      </c>
      <c r="T55" s="1">
        <v>0</v>
      </c>
      <c r="U55" s="1">
        <v>2</v>
      </c>
      <c r="V55" s="1">
        <v>1798</v>
      </c>
    </row>
    <row r="56" spans="1:22" x14ac:dyDescent="0.15">
      <c r="A56" s="2" t="str">
        <f t="shared" si="66"/>
        <v>C4T3</v>
      </c>
      <c r="B56" s="2" t="str">
        <f t="shared" si="67"/>
        <v>华南支社</v>
      </c>
      <c r="C56" s="2" t="str">
        <f t="shared" si="68"/>
        <v>PR 广州天河城(C4T3)</v>
      </c>
      <c r="D56" s="2" t="str">
        <f t="shared" si="59"/>
        <v>2026</v>
      </c>
      <c r="E56" s="2" t="str">
        <f t="shared" si="60"/>
        <v>夏</v>
      </c>
      <c r="F56" s="2" t="str">
        <f t="shared" si="61"/>
        <v>一般毛衣(SWEATER)(KW)</v>
      </c>
      <c r="H56" s="2" t="str">
        <f t="shared" si="62"/>
        <v>PRKWG2303M</v>
      </c>
      <c r="I56" s="2" t="str">
        <f t="shared" si="53"/>
        <v>(99)MIX99</v>
      </c>
      <c r="J56" s="2" t="str">
        <f t="shared" si="63"/>
        <v>165</v>
      </c>
      <c r="K56" s="2" t="str">
        <f t="shared" si="64"/>
        <v>PRKWG2303M99165</v>
      </c>
      <c r="L56" s="2" t="str">
        <f t="shared" si="65"/>
        <v>899</v>
      </c>
      <c r="M56" s="1">
        <v>2</v>
      </c>
      <c r="N56" s="1">
        <v>1798</v>
      </c>
      <c r="O56" s="1">
        <v>2</v>
      </c>
      <c r="P56" s="1">
        <v>1798</v>
      </c>
      <c r="Q56" s="1">
        <v>0</v>
      </c>
      <c r="R56" s="1">
        <v>0</v>
      </c>
      <c r="S56" s="1">
        <v>0</v>
      </c>
      <c r="T56" s="1">
        <v>0</v>
      </c>
      <c r="U56" s="1">
        <v>2</v>
      </c>
      <c r="V56" s="1">
        <v>1798</v>
      </c>
    </row>
    <row r="57" spans="1:22" x14ac:dyDescent="0.15">
      <c r="A57" s="2" t="str">
        <f t="shared" si="66"/>
        <v>C4T3</v>
      </c>
      <c r="B57" s="2" t="str">
        <f t="shared" si="67"/>
        <v>华南支社</v>
      </c>
      <c r="C57" s="2" t="str">
        <f t="shared" si="68"/>
        <v>PR 广州天河城(C4T3)</v>
      </c>
      <c r="D57" s="2" t="str">
        <f t="shared" si="59"/>
        <v>2026</v>
      </c>
      <c r="E57" s="2" t="str">
        <f t="shared" si="60"/>
        <v>夏</v>
      </c>
      <c r="F57" s="2" t="str">
        <f t="shared" si="61"/>
        <v>一般毛衣(SWEATER)(KW)</v>
      </c>
      <c r="H57" s="2" t="str">
        <f t="shared" si="62"/>
        <v>PRKWG2303M</v>
      </c>
      <c r="I57" s="2" t="str">
        <f t="shared" si="53"/>
        <v>(99)MIX99</v>
      </c>
      <c r="J57" s="2" t="str">
        <f>"170"</f>
        <v>170</v>
      </c>
      <c r="K57" s="2" t="str">
        <f>"PRKWG2303M99170"</f>
        <v>PRKWG2303M99170</v>
      </c>
      <c r="L57" s="2" t="str">
        <f t="shared" si="65"/>
        <v>899</v>
      </c>
      <c r="M57" s="1">
        <v>2</v>
      </c>
      <c r="N57" s="1">
        <v>1798</v>
      </c>
      <c r="O57" s="1">
        <v>2</v>
      </c>
      <c r="P57" s="1">
        <v>1798</v>
      </c>
      <c r="Q57" s="1">
        <v>0</v>
      </c>
      <c r="R57" s="1">
        <v>0</v>
      </c>
      <c r="S57" s="1">
        <v>0</v>
      </c>
      <c r="T57" s="1">
        <v>0</v>
      </c>
      <c r="U57" s="1">
        <v>2</v>
      </c>
      <c r="V57" s="1">
        <v>1798</v>
      </c>
    </row>
    <row r="58" spans="1:22" x14ac:dyDescent="0.15">
      <c r="A58" s="2" t="str">
        <f t="shared" ref="A58:A60" si="69">"C4TF"</f>
        <v>C4TF</v>
      </c>
      <c r="B58" s="2" t="str">
        <f t="shared" ref="B58:B60" si="70">"东北支社"</f>
        <v>东北支社</v>
      </c>
      <c r="C58" s="2" t="str">
        <f t="shared" ref="C58:C60" si="71">"PR 延吉百货大楼(C4TF)"</f>
        <v>PR 延吉百货大楼(C4TF)</v>
      </c>
      <c r="D58" s="2" t="str">
        <f t="shared" si="59"/>
        <v>2026</v>
      </c>
      <c r="E58" s="2" t="str">
        <f t="shared" si="60"/>
        <v>夏</v>
      </c>
      <c r="F58" s="2" t="str">
        <f t="shared" si="61"/>
        <v>一般毛衣(SWEATER)(KW)</v>
      </c>
      <c r="H58" s="2" t="str">
        <f t="shared" si="62"/>
        <v>PRKWG2303M</v>
      </c>
      <c r="I58" s="2" t="str">
        <f t="shared" ref="I58:I64" si="72">"(99)MIX99"</f>
        <v>(99)MIX99</v>
      </c>
      <c r="J58" s="2" t="str">
        <f>"160"</f>
        <v>160</v>
      </c>
      <c r="K58" s="2" t="str">
        <f>"PRKWG2303M99160"</f>
        <v>PRKWG2303M99160</v>
      </c>
      <c r="L58" s="2" t="str">
        <f t="shared" si="65"/>
        <v>899</v>
      </c>
      <c r="M58" s="1">
        <v>4</v>
      </c>
      <c r="N58" s="1">
        <v>3596</v>
      </c>
      <c r="O58" s="1">
        <v>4</v>
      </c>
      <c r="P58" s="1">
        <v>3596</v>
      </c>
      <c r="Q58" s="1">
        <v>0</v>
      </c>
      <c r="R58" s="1">
        <v>0</v>
      </c>
      <c r="S58" s="1">
        <v>0</v>
      </c>
      <c r="T58" s="1">
        <v>0</v>
      </c>
      <c r="U58" s="1">
        <v>4</v>
      </c>
      <c r="V58" s="1">
        <v>3596</v>
      </c>
    </row>
    <row r="59" spans="1:22" x14ac:dyDescent="0.15">
      <c r="A59" s="2" t="str">
        <f t="shared" si="69"/>
        <v>C4TF</v>
      </c>
      <c r="B59" s="2" t="str">
        <f t="shared" si="70"/>
        <v>东北支社</v>
      </c>
      <c r="C59" s="2" t="str">
        <f t="shared" si="71"/>
        <v>PR 延吉百货大楼(C4TF)</v>
      </c>
      <c r="D59" s="2" t="str">
        <f t="shared" si="59"/>
        <v>2026</v>
      </c>
      <c r="E59" s="2" t="str">
        <f t="shared" si="60"/>
        <v>夏</v>
      </c>
      <c r="F59" s="2" t="str">
        <f t="shared" si="61"/>
        <v>一般毛衣(SWEATER)(KW)</v>
      </c>
      <c r="H59" s="2" t="str">
        <f t="shared" si="62"/>
        <v>PRKWG2303M</v>
      </c>
      <c r="I59" s="2" t="str">
        <f t="shared" si="72"/>
        <v>(99)MIX99</v>
      </c>
      <c r="J59" s="2" t="str">
        <f>"165"</f>
        <v>165</v>
      </c>
      <c r="K59" s="2" t="str">
        <f>"PRKWG2303M99165"</f>
        <v>PRKWG2303M99165</v>
      </c>
      <c r="L59" s="2" t="str">
        <f t="shared" si="65"/>
        <v>899</v>
      </c>
      <c r="M59" s="1">
        <v>2</v>
      </c>
      <c r="N59" s="1">
        <v>1798</v>
      </c>
      <c r="O59" s="1">
        <v>2</v>
      </c>
      <c r="P59" s="1">
        <v>1798</v>
      </c>
      <c r="Q59" s="1">
        <v>0</v>
      </c>
      <c r="R59" s="1">
        <v>0</v>
      </c>
      <c r="S59" s="1">
        <v>0</v>
      </c>
      <c r="T59" s="1">
        <v>0</v>
      </c>
      <c r="U59" s="1">
        <v>2</v>
      </c>
      <c r="V59" s="1">
        <v>1798</v>
      </c>
    </row>
    <row r="60" spans="1:22" x14ac:dyDescent="0.15">
      <c r="A60" s="2" t="str">
        <f t="shared" si="69"/>
        <v>C4TF</v>
      </c>
      <c r="B60" s="2" t="str">
        <f t="shared" si="70"/>
        <v>东北支社</v>
      </c>
      <c r="C60" s="2" t="str">
        <f t="shared" si="71"/>
        <v>PR 延吉百货大楼(C4TF)</v>
      </c>
      <c r="D60" s="2" t="str">
        <f t="shared" si="59"/>
        <v>2026</v>
      </c>
      <c r="E60" s="2" t="str">
        <f t="shared" si="60"/>
        <v>夏</v>
      </c>
      <c r="F60" s="2" t="str">
        <f t="shared" si="61"/>
        <v>一般毛衣(SWEATER)(KW)</v>
      </c>
      <c r="H60" s="2" t="str">
        <f t="shared" si="62"/>
        <v>PRKWG2303M</v>
      </c>
      <c r="I60" s="2" t="str">
        <f t="shared" si="72"/>
        <v>(99)MIX99</v>
      </c>
      <c r="J60" s="2" t="str">
        <f>"170"</f>
        <v>170</v>
      </c>
      <c r="K60" s="2" t="str">
        <f>"PRKWG2303M99170"</f>
        <v>PRKWG2303M99170</v>
      </c>
      <c r="L60" s="2" t="str">
        <f t="shared" si="65"/>
        <v>899</v>
      </c>
      <c r="M60" s="1">
        <v>1</v>
      </c>
      <c r="N60" s="1">
        <v>899</v>
      </c>
      <c r="O60" s="1">
        <v>1</v>
      </c>
      <c r="P60" s="1">
        <v>899</v>
      </c>
      <c r="Q60" s="1">
        <v>0</v>
      </c>
      <c r="R60" s="1">
        <v>0</v>
      </c>
      <c r="S60" s="1">
        <v>0</v>
      </c>
      <c r="T60" s="1">
        <v>0</v>
      </c>
      <c r="U60" s="1">
        <v>1</v>
      </c>
      <c r="V60" s="1">
        <v>899</v>
      </c>
    </row>
    <row r="61" spans="1:22" x14ac:dyDescent="0.15">
      <c r="A61" s="2" t="str">
        <f t="shared" ref="A61:A64" si="73">"C540"</f>
        <v>C540</v>
      </c>
      <c r="B61" s="2" t="str">
        <f t="shared" ref="B61:B64" si="74">"川西支社"</f>
        <v>川西支社</v>
      </c>
      <c r="C61" s="2" t="str">
        <f t="shared" ref="C61:C64" si="75">"PR 成都伊藤锦华(C540)"</f>
        <v>PR 成都伊藤锦华(C540)</v>
      </c>
      <c r="D61" s="2" t="str">
        <f t="shared" si="59"/>
        <v>2026</v>
      </c>
      <c r="E61" s="2" t="str">
        <f t="shared" si="60"/>
        <v>夏</v>
      </c>
      <c r="F61" s="2" t="str">
        <f t="shared" si="61"/>
        <v>一般毛衣(SWEATER)(KW)</v>
      </c>
      <c r="H61" s="2" t="str">
        <f t="shared" si="62"/>
        <v>PRKWG2303M</v>
      </c>
      <c r="I61" s="2" t="str">
        <f t="shared" si="72"/>
        <v>(99)MIX99</v>
      </c>
      <c r="J61" s="2" t="str">
        <f>"155"</f>
        <v>155</v>
      </c>
      <c r="K61" s="2" t="str">
        <f>"PRKWG2303M99155"</f>
        <v>PRKWG2303M99155</v>
      </c>
      <c r="L61" s="2" t="str">
        <f t="shared" si="65"/>
        <v>899</v>
      </c>
      <c r="M61" s="1">
        <v>1</v>
      </c>
      <c r="N61" s="1">
        <v>899</v>
      </c>
      <c r="O61" s="1">
        <v>1</v>
      </c>
      <c r="P61" s="1">
        <v>899</v>
      </c>
      <c r="Q61" s="1">
        <v>0</v>
      </c>
      <c r="R61" s="1">
        <v>0</v>
      </c>
      <c r="S61" s="1">
        <v>0</v>
      </c>
      <c r="T61" s="1">
        <v>0</v>
      </c>
      <c r="U61" s="1">
        <v>1</v>
      </c>
      <c r="V61" s="1">
        <v>899</v>
      </c>
    </row>
    <row r="62" spans="1:22" x14ac:dyDescent="0.15">
      <c r="A62" s="2" t="str">
        <f t="shared" si="73"/>
        <v>C540</v>
      </c>
      <c r="B62" s="2" t="str">
        <f t="shared" si="74"/>
        <v>川西支社</v>
      </c>
      <c r="C62" s="2" t="str">
        <f t="shared" si="75"/>
        <v>PR 成都伊藤锦华(C540)</v>
      </c>
      <c r="D62" s="2" t="str">
        <f t="shared" si="59"/>
        <v>2026</v>
      </c>
      <c r="E62" s="2" t="str">
        <f t="shared" si="60"/>
        <v>夏</v>
      </c>
      <c r="F62" s="2" t="str">
        <f t="shared" si="61"/>
        <v>一般毛衣(SWEATER)(KW)</v>
      </c>
      <c r="H62" s="2" t="str">
        <f t="shared" si="62"/>
        <v>PRKWG2303M</v>
      </c>
      <c r="I62" s="2" t="str">
        <f t="shared" si="72"/>
        <v>(99)MIX99</v>
      </c>
      <c r="J62" s="2" t="str">
        <f>"160"</f>
        <v>160</v>
      </c>
      <c r="K62" s="2" t="str">
        <f>"PRKWG2303M99160"</f>
        <v>PRKWG2303M99160</v>
      </c>
      <c r="L62" s="2" t="str">
        <f t="shared" si="65"/>
        <v>899</v>
      </c>
      <c r="M62" s="1">
        <v>4</v>
      </c>
      <c r="N62" s="1">
        <v>3596</v>
      </c>
      <c r="O62" s="1">
        <v>4</v>
      </c>
      <c r="P62" s="1">
        <v>3596</v>
      </c>
      <c r="Q62" s="1">
        <v>0</v>
      </c>
      <c r="R62" s="1">
        <v>0</v>
      </c>
      <c r="S62" s="1">
        <v>0</v>
      </c>
      <c r="T62" s="1">
        <v>0</v>
      </c>
      <c r="U62" s="1">
        <v>4</v>
      </c>
      <c r="V62" s="1">
        <v>3596</v>
      </c>
    </row>
    <row r="63" spans="1:22" x14ac:dyDescent="0.15">
      <c r="A63" s="2" t="str">
        <f t="shared" si="73"/>
        <v>C540</v>
      </c>
      <c r="B63" s="2" t="str">
        <f t="shared" si="74"/>
        <v>川西支社</v>
      </c>
      <c r="C63" s="2" t="str">
        <f t="shared" si="75"/>
        <v>PR 成都伊藤锦华(C540)</v>
      </c>
      <c r="D63" s="2" t="str">
        <f t="shared" si="59"/>
        <v>2026</v>
      </c>
      <c r="E63" s="2" t="str">
        <f t="shared" si="60"/>
        <v>夏</v>
      </c>
      <c r="F63" s="2" t="str">
        <f t="shared" si="61"/>
        <v>一般毛衣(SWEATER)(KW)</v>
      </c>
      <c r="H63" s="2" t="str">
        <f t="shared" si="62"/>
        <v>PRKWG2303M</v>
      </c>
      <c r="I63" s="2" t="str">
        <f t="shared" si="72"/>
        <v>(99)MIX99</v>
      </c>
      <c r="J63" s="2" t="str">
        <f>"165"</f>
        <v>165</v>
      </c>
      <c r="K63" s="2" t="str">
        <f>"PRKWG2303M99165"</f>
        <v>PRKWG2303M99165</v>
      </c>
      <c r="L63" s="2" t="str">
        <f t="shared" si="65"/>
        <v>899</v>
      </c>
      <c r="M63" s="1">
        <v>2</v>
      </c>
      <c r="N63" s="1">
        <v>1798</v>
      </c>
      <c r="O63" s="1">
        <v>2</v>
      </c>
      <c r="P63" s="1">
        <v>1798</v>
      </c>
      <c r="Q63" s="1">
        <v>0</v>
      </c>
      <c r="R63" s="1">
        <v>0</v>
      </c>
      <c r="S63" s="1">
        <v>0</v>
      </c>
      <c r="T63" s="1">
        <v>0</v>
      </c>
      <c r="U63" s="1">
        <v>2</v>
      </c>
      <c r="V63" s="1">
        <v>1798</v>
      </c>
    </row>
    <row r="64" spans="1:22" x14ac:dyDescent="0.15">
      <c r="A64" s="2" t="str">
        <f t="shared" si="73"/>
        <v>C540</v>
      </c>
      <c r="B64" s="2" t="str">
        <f t="shared" si="74"/>
        <v>川西支社</v>
      </c>
      <c r="C64" s="2" t="str">
        <f t="shared" si="75"/>
        <v>PR 成都伊藤锦华(C540)</v>
      </c>
      <c r="D64" s="2" t="str">
        <f t="shared" si="59"/>
        <v>2026</v>
      </c>
      <c r="E64" s="2" t="str">
        <f t="shared" si="60"/>
        <v>夏</v>
      </c>
      <c r="F64" s="2" t="str">
        <f t="shared" si="61"/>
        <v>一般毛衣(SWEATER)(KW)</v>
      </c>
      <c r="H64" s="2" t="str">
        <f t="shared" si="62"/>
        <v>PRKWG2303M</v>
      </c>
      <c r="I64" s="2" t="str">
        <f t="shared" si="72"/>
        <v>(99)MIX99</v>
      </c>
      <c r="J64" s="2" t="str">
        <f>"170"</f>
        <v>170</v>
      </c>
      <c r="K64" s="2" t="str">
        <f>"PRKWG2303M99170"</f>
        <v>PRKWG2303M99170</v>
      </c>
      <c r="L64" s="2" t="str">
        <f t="shared" si="65"/>
        <v>899</v>
      </c>
      <c r="M64" s="1">
        <v>1</v>
      </c>
      <c r="N64" s="1">
        <v>899</v>
      </c>
      <c r="O64" s="1">
        <v>1</v>
      </c>
      <c r="P64" s="1">
        <v>899</v>
      </c>
      <c r="Q64" s="1">
        <v>0</v>
      </c>
      <c r="R64" s="1">
        <v>0</v>
      </c>
      <c r="S64" s="1">
        <v>0</v>
      </c>
      <c r="T64" s="1">
        <v>0</v>
      </c>
      <c r="U64" s="1">
        <v>1</v>
      </c>
      <c r="V64" s="1">
        <v>899</v>
      </c>
    </row>
    <row r="65" spans="1:22" x14ac:dyDescent="0.15">
      <c r="A65" s="2" t="str">
        <f t="shared" ref="A65:A67" si="76">"C554"</f>
        <v>C554</v>
      </c>
      <c r="B65" s="2" t="str">
        <f t="shared" ref="B65:B67" si="77">"华南支社"</f>
        <v>华南支社</v>
      </c>
      <c r="C65" s="2" t="str">
        <f t="shared" ref="C65:C67" si="78">"PR 深圳东门茂业(C554)"</f>
        <v>PR 深圳东门茂业(C554)</v>
      </c>
      <c r="D65" s="2" t="str">
        <f t="shared" si="59"/>
        <v>2026</v>
      </c>
      <c r="E65" s="2" t="str">
        <f t="shared" si="60"/>
        <v>夏</v>
      </c>
      <c r="F65" s="2" t="str">
        <f t="shared" si="61"/>
        <v>一般毛衣(SWEATER)(KW)</v>
      </c>
      <c r="H65" s="2" t="str">
        <f t="shared" si="62"/>
        <v>PRKWG2303M</v>
      </c>
      <c r="I65" s="2" t="str">
        <f t="shared" ref="I65:I75" si="79">"(99)MIX99"</f>
        <v>(99)MIX99</v>
      </c>
      <c r="J65" s="2" t="str">
        <f>"160"</f>
        <v>160</v>
      </c>
      <c r="K65" s="2" t="str">
        <f>"PRKWG2303M99160"</f>
        <v>PRKWG2303M99160</v>
      </c>
      <c r="L65" s="2" t="str">
        <f t="shared" si="65"/>
        <v>899</v>
      </c>
      <c r="M65" s="1">
        <v>5</v>
      </c>
      <c r="N65" s="1">
        <v>4495</v>
      </c>
      <c r="O65" s="1">
        <v>5</v>
      </c>
      <c r="P65" s="1">
        <v>4495</v>
      </c>
      <c r="Q65" s="1">
        <v>0</v>
      </c>
      <c r="R65" s="1">
        <v>0</v>
      </c>
      <c r="S65" s="1">
        <v>0</v>
      </c>
      <c r="T65" s="1">
        <v>0</v>
      </c>
      <c r="U65" s="1">
        <v>5</v>
      </c>
      <c r="V65" s="1">
        <v>4495</v>
      </c>
    </row>
    <row r="66" spans="1:22" x14ac:dyDescent="0.15">
      <c r="A66" s="2" t="str">
        <f t="shared" si="76"/>
        <v>C554</v>
      </c>
      <c r="B66" s="2" t="str">
        <f t="shared" si="77"/>
        <v>华南支社</v>
      </c>
      <c r="C66" s="2" t="str">
        <f t="shared" si="78"/>
        <v>PR 深圳东门茂业(C554)</v>
      </c>
      <c r="D66" s="2" t="str">
        <f t="shared" si="59"/>
        <v>2026</v>
      </c>
      <c r="E66" s="2" t="str">
        <f t="shared" si="60"/>
        <v>夏</v>
      </c>
      <c r="F66" s="2" t="str">
        <f t="shared" si="61"/>
        <v>一般毛衣(SWEATER)(KW)</v>
      </c>
      <c r="H66" s="2" t="str">
        <f t="shared" si="62"/>
        <v>PRKWG2303M</v>
      </c>
      <c r="I66" s="2" t="str">
        <f t="shared" si="79"/>
        <v>(99)MIX99</v>
      </c>
      <c r="J66" s="2" t="str">
        <f>"165"</f>
        <v>165</v>
      </c>
      <c r="K66" s="2" t="str">
        <f>"PRKWG2303M99165"</f>
        <v>PRKWG2303M99165</v>
      </c>
      <c r="L66" s="2" t="str">
        <f t="shared" si="65"/>
        <v>899</v>
      </c>
      <c r="M66" s="1">
        <v>2</v>
      </c>
      <c r="N66" s="1">
        <v>1798</v>
      </c>
      <c r="O66" s="1">
        <v>2</v>
      </c>
      <c r="P66" s="1">
        <v>1798</v>
      </c>
      <c r="Q66" s="1">
        <v>0</v>
      </c>
      <c r="R66" s="1">
        <v>0</v>
      </c>
      <c r="S66" s="1">
        <v>0</v>
      </c>
      <c r="T66" s="1">
        <v>0</v>
      </c>
      <c r="U66" s="1">
        <v>2</v>
      </c>
      <c r="V66" s="1">
        <v>1798</v>
      </c>
    </row>
    <row r="67" spans="1:22" x14ac:dyDescent="0.15">
      <c r="A67" s="2" t="str">
        <f t="shared" si="76"/>
        <v>C554</v>
      </c>
      <c r="B67" s="2" t="str">
        <f t="shared" si="77"/>
        <v>华南支社</v>
      </c>
      <c r="C67" s="2" t="str">
        <f t="shared" si="78"/>
        <v>PR 深圳东门茂业(C554)</v>
      </c>
      <c r="D67" s="2" t="str">
        <f t="shared" si="59"/>
        <v>2026</v>
      </c>
      <c r="E67" s="2" t="str">
        <f t="shared" si="60"/>
        <v>夏</v>
      </c>
      <c r="F67" s="2" t="str">
        <f t="shared" si="61"/>
        <v>一般毛衣(SWEATER)(KW)</v>
      </c>
      <c r="H67" s="2" t="str">
        <f t="shared" si="62"/>
        <v>PRKWG2303M</v>
      </c>
      <c r="I67" s="2" t="str">
        <f t="shared" si="79"/>
        <v>(99)MIX99</v>
      </c>
      <c r="J67" s="2" t="str">
        <f>"170"</f>
        <v>170</v>
      </c>
      <c r="K67" s="2" t="str">
        <f>"PRKWG2303M99170"</f>
        <v>PRKWG2303M99170</v>
      </c>
      <c r="L67" s="2" t="str">
        <f t="shared" si="65"/>
        <v>899</v>
      </c>
      <c r="M67" s="1">
        <v>2</v>
      </c>
      <c r="N67" s="1">
        <v>1798</v>
      </c>
      <c r="O67" s="1">
        <v>2</v>
      </c>
      <c r="P67" s="1">
        <v>1798</v>
      </c>
      <c r="Q67" s="1">
        <v>0</v>
      </c>
      <c r="R67" s="1">
        <v>0</v>
      </c>
      <c r="S67" s="1">
        <v>0</v>
      </c>
      <c r="T67" s="1">
        <v>0</v>
      </c>
      <c r="U67" s="1">
        <v>2</v>
      </c>
      <c r="V67" s="1">
        <v>1798</v>
      </c>
    </row>
    <row r="68" spans="1:22" x14ac:dyDescent="0.15">
      <c r="A68" s="2" t="str">
        <f t="shared" ref="A68:A70" si="80">"C55Y"</f>
        <v>C55Y</v>
      </c>
      <c r="B68" s="2" t="str">
        <f t="shared" ref="B68:B70" si="81">"川南支社"</f>
        <v>川南支社</v>
      </c>
      <c r="C68" s="2" t="str">
        <f t="shared" ref="C68:C70" si="82">"PR 昆明百货(C55Y)"</f>
        <v>PR 昆明百货(C55Y)</v>
      </c>
      <c r="D68" s="2" t="str">
        <f t="shared" si="59"/>
        <v>2026</v>
      </c>
      <c r="E68" s="2" t="str">
        <f t="shared" si="60"/>
        <v>夏</v>
      </c>
      <c r="F68" s="2" t="str">
        <f t="shared" si="61"/>
        <v>一般毛衣(SWEATER)(KW)</v>
      </c>
      <c r="H68" s="2" t="str">
        <f t="shared" si="62"/>
        <v>PRKWG2303M</v>
      </c>
      <c r="I68" s="2" t="str">
        <f t="shared" si="79"/>
        <v>(99)MIX99</v>
      </c>
      <c r="J68" s="2" t="str">
        <f>"160"</f>
        <v>160</v>
      </c>
      <c r="K68" s="2" t="str">
        <f>"PRKWG2303M99160"</f>
        <v>PRKWG2303M99160</v>
      </c>
      <c r="L68" s="2" t="str">
        <f t="shared" si="65"/>
        <v>899</v>
      </c>
      <c r="M68" s="1">
        <v>2</v>
      </c>
      <c r="N68" s="1">
        <v>1798</v>
      </c>
      <c r="O68" s="1">
        <v>2</v>
      </c>
      <c r="P68" s="1">
        <v>1798</v>
      </c>
      <c r="Q68" s="1">
        <v>0</v>
      </c>
      <c r="R68" s="1">
        <v>0</v>
      </c>
      <c r="S68" s="1">
        <v>0</v>
      </c>
      <c r="T68" s="1">
        <v>0</v>
      </c>
      <c r="U68" s="1">
        <v>2</v>
      </c>
      <c r="V68" s="1">
        <v>1798</v>
      </c>
    </row>
    <row r="69" spans="1:22" x14ac:dyDescent="0.15">
      <c r="A69" s="2" t="str">
        <f t="shared" si="80"/>
        <v>C55Y</v>
      </c>
      <c r="B69" s="2" t="str">
        <f t="shared" si="81"/>
        <v>川南支社</v>
      </c>
      <c r="C69" s="2" t="str">
        <f t="shared" si="82"/>
        <v>PR 昆明百货(C55Y)</v>
      </c>
      <c r="D69" s="2" t="str">
        <f t="shared" si="59"/>
        <v>2026</v>
      </c>
      <c r="E69" s="2" t="str">
        <f t="shared" si="60"/>
        <v>夏</v>
      </c>
      <c r="F69" s="2" t="str">
        <f t="shared" si="61"/>
        <v>一般毛衣(SWEATER)(KW)</v>
      </c>
      <c r="H69" s="2" t="str">
        <f t="shared" si="62"/>
        <v>PRKWG2303M</v>
      </c>
      <c r="I69" s="2" t="str">
        <f t="shared" si="79"/>
        <v>(99)MIX99</v>
      </c>
      <c r="J69" s="2" t="str">
        <f>"165"</f>
        <v>165</v>
      </c>
      <c r="K69" s="2" t="str">
        <f>"PRKWG2303M99165"</f>
        <v>PRKWG2303M99165</v>
      </c>
      <c r="L69" s="2" t="str">
        <f t="shared" si="65"/>
        <v>899</v>
      </c>
      <c r="M69" s="1">
        <v>2</v>
      </c>
      <c r="N69" s="1">
        <v>1798</v>
      </c>
      <c r="O69" s="1">
        <v>2</v>
      </c>
      <c r="P69" s="1">
        <v>1798</v>
      </c>
      <c r="Q69" s="1">
        <v>0</v>
      </c>
      <c r="R69" s="1">
        <v>0</v>
      </c>
      <c r="S69" s="1">
        <v>0</v>
      </c>
      <c r="T69" s="1">
        <v>0</v>
      </c>
      <c r="U69" s="1">
        <v>2</v>
      </c>
      <c r="V69" s="1">
        <v>1798</v>
      </c>
    </row>
    <row r="70" spans="1:22" x14ac:dyDescent="0.15">
      <c r="A70" s="2" t="str">
        <f t="shared" si="80"/>
        <v>C55Y</v>
      </c>
      <c r="B70" s="2" t="str">
        <f t="shared" si="81"/>
        <v>川南支社</v>
      </c>
      <c r="C70" s="2" t="str">
        <f t="shared" si="82"/>
        <v>PR 昆明百货(C55Y)</v>
      </c>
      <c r="D70" s="2" t="str">
        <f t="shared" si="59"/>
        <v>2026</v>
      </c>
      <c r="E70" s="2" t="str">
        <f t="shared" si="60"/>
        <v>夏</v>
      </c>
      <c r="F70" s="2" t="str">
        <f t="shared" si="61"/>
        <v>一般毛衣(SWEATER)(KW)</v>
      </c>
      <c r="H70" s="2" t="str">
        <f t="shared" si="62"/>
        <v>PRKWG2303M</v>
      </c>
      <c r="I70" s="2" t="str">
        <f t="shared" si="79"/>
        <v>(99)MIX99</v>
      </c>
      <c r="J70" s="2" t="str">
        <f>"170"</f>
        <v>170</v>
      </c>
      <c r="K70" s="2" t="str">
        <f>"PRKWG2303M99170"</f>
        <v>PRKWG2303M99170</v>
      </c>
      <c r="L70" s="2" t="str">
        <f t="shared" si="65"/>
        <v>899</v>
      </c>
      <c r="M70" s="1">
        <v>1</v>
      </c>
      <c r="N70" s="1">
        <v>899</v>
      </c>
      <c r="O70" s="1">
        <v>1</v>
      </c>
      <c r="P70" s="1">
        <v>899</v>
      </c>
      <c r="Q70" s="1">
        <v>0</v>
      </c>
      <c r="R70" s="1">
        <v>0</v>
      </c>
      <c r="S70" s="1">
        <v>0</v>
      </c>
      <c r="T70" s="1">
        <v>0</v>
      </c>
      <c r="U70" s="1">
        <v>1</v>
      </c>
      <c r="V70" s="1">
        <v>899</v>
      </c>
    </row>
    <row r="71" spans="1:22" x14ac:dyDescent="0.15">
      <c r="A71" s="2" t="str">
        <f t="shared" ref="A71:A73" si="83">"C5AH"</f>
        <v>C5AH</v>
      </c>
      <c r="B71" s="2" t="str">
        <f t="shared" ref="B71:B73" si="84">"华东支社"</f>
        <v>华东支社</v>
      </c>
      <c r="C71" s="2" t="str">
        <f t="shared" ref="C71:C73" si="85">"PR 扬州金鹰国际二期(C5AH)"</f>
        <v>PR 扬州金鹰国际二期(C5AH)</v>
      </c>
      <c r="D71" s="2" t="str">
        <f t="shared" si="59"/>
        <v>2026</v>
      </c>
      <c r="E71" s="2" t="str">
        <f t="shared" si="60"/>
        <v>夏</v>
      </c>
      <c r="F71" s="2" t="str">
        <f t="shared" si="61"/>
        <v>一般毛衣(SWEATER)(KW)</v>
      </c>
      <c r="H71" s="2" t="str">
        <f t="shared" si="62"/>
        <v>PRKWG2303M</v>
      </c>
      <c r="I71" s="2" t="str">
        <f t="shared" si="79"/>
        <v>(99)MIX99</v>
      </c>
      <c r="J71" s="2" t="str">
        <f t="shared" ref="J71:J74" si="86">"160"</f>
        <v>160</v>
      </c>
      <c r="K71" s="2" t="str">
        <f>"PRKWG2303M99160"</f>
        <v>PRKWG2303M99160</v>
      </c>
      <c r="L71" s="2" t="str">
        <f t="shared" si="65"/>
        <v>899</v>
      </c>
      <c r="M71" s="1">
        <v>3</v>
      </c>
      <c r="N71" s="1">
        <v>2697</v>
      </c>
      <c r="O71" s="1">
        <v>3</v>
      </c>
      <c r="P71" s="1">
        <v>2697</v>
      </c>
      <c r="Q71" s="1">
        <v>0</v>
      </c>
      <c r="R71" s="1">
        <v>0</v>
      </c>
      <c r="S71" s="1">
        <v>1</v>
      </c>
      <c r="T71" s="1">
        <v>899</v>
      </c>
      <c r="U71" s="1">
        <v>4</v>
      </c>
      <c r="V71" s="1">
        <v>3596</v>
      </c>
    </row>
    <row r="72" spans="1:22" x14ac:dyDescent="0.15">
      <c r="A72" s="2" t="str">
        <f t="shared" si="83"/>
        <v>C5AH</v>
      </c>
      <c r="B72" s="2" t="str">
        <f t="shared" si="84"/>
        <v>华东支社</v>
      </c>
      <c r="C72" s="2" t="str">
        <f t="shared" si="85"/>
        <v>PR 扬州金鹰国际二期(C5AH)</v>
      </c>
      <c r="D72" s="2" t="str">
        <f t="shared" si="59"/>
        <v>2026</v>
      </c>
      <c r="E72" s="2" t="str">
        <f t="shared" si="60"/>
        <v>夏</v>
      </c>
      <c r="F72" s="2" t="str">
        <f t="shared" si="61"/>
        <v>一般毛衣(SWEATER)(KW)</v>
      </c>
      <c r="H72" s="2" t="str">
        <f t="shared" si="62"/>
        <v>PRKWG2303M</v>
      </c>
      <c r="I72" s="2" t="str">
        <f t="shared" si="79"/>
        <v>(99)MIX99</v>
      </c>
      <c r="J72" s="2" t="str">
        <f t="shared" ref="J72:J75" si="87">"165"</f>
        <v>165</v>
      </c>
      <c r="K72" s="2" t="str">
        <f>"PRKWG2303M99165"</f>
        <v>PRKWG2303M99165</v>
      </c>
      <c r="L72" s="2" t="str">
        <f t="shared" si="65"/>
        <v>899</v>
      </c>
      <c r="M72" s="1">
        <v>2</v>
      </c>
      <c r="N72" s="1">
        <v>1798</v>
      </c>
      <c r="O72" s="1">
        <v>2</v>
      </c>
      <c r="P72" s="1">
        <v>1798</v>
      </c>
      <c r="Q72" s="1">
        <v>0</v>
      </c>
      <c r="R72" s="1">
        <v>0</v>
      </c>
      <c r="S72" s="1">
        <v>0</v>
      </c>
      <c r="T72" s="1">
        <v>0</v>
      </c>
      <c r="U72" s="1">
        <v>2</v>
      </c>
      <c r="V72" s="1">
        <v>1798</v>
      </c>
    </row>
    <row r="73" spans="1:22" x14ac:dyDescent="0.15">
      <c r="A73" s="2" t="str">
        <f t="shared" si="83"/>
        <v>C5AH</v>
      </c>
      <c r="B73" s="2" t="str">
        <f t="shared" si="84"/>
        <v>华东支社</v>
      </c>
      <c r="C73" s="2" t="str">
        <f t="shared" si="85"/>
        <v>PR 扬州金鹰国际二期(C5AH)</v>
      </c>
      <c r="D73" s="2" t="str">
        <f t="shared" si="59"/>
        <v>2026</v>
      </c>
      <c r="E73" s="2" t="str">
        <f t="shared" si="60"/>
        <v>夏</v>
      </c>
      <c r="F73" s="2" t="str">
        <f t="shared" si="61"/>
        <v>一般毛衣(SWEATER)(KW)</v>
      </c>
      <c r="H73" s="2" t="str">
        <f t="shared" si="62"/>
        <v>PRKWG2303M</v>
      </c>
      <c r="I73" s="2" t="str">
        <f t="shared" si="79"/>
        <v>(99)MIX99</v>
      </c>
      <c r="J73" s="2" t="str">
        <f>"170"</f>
        <v>170</v>
      </c>
      <c r="K73" s="2" t="str">
        <f>"PRKWG2303M99170"</f>
        <v>PRKWG2303M99170</v>
      </c>
      <c r="L73" s="2" t="str">
        <f t="shared" si="65"/>
        <v>899</v>
      </c>
      <c r="M73" s="1">
        <v>1</v>
      </c>
      <c r="N73" s="1">
        <v>899</v>
      </c>
      <c r="O73" s="1">
        <v>1</v>
      </c>
      <c r="P73" s="1">
        <v>899</v>
      </c>
      <c r="Q73" s="1">
        <v>0</v>
      </c>
      <c r="R73" s="1">
        <v>0</v>
      </c>
      <c r="S73" s="1">
        <v>0</v>
      </c>
      <c r="T73" s="1">
        <v>0</v>
      </c>
      <c r="U73" s="1">
        <v>1</v>
      </c>
      <c r="V73" s="1">
        <v>899</v>
      </c>
    </row>
    <row r="74" spans="1:22" x14ac:dyDescent="0.15">
      <c r="A74" s="2" t="str">
        <f>"C5W0"</f>
        <v>C5W0</v>
      </c>
      <c r="B74" s="2" t="str">
        <f>"川南支社"</f>
        <v>川南支社</v>
      </c>
      <c r="C74" s="2" t="str">
        <f>"PR 昆明美晨(C5W0)"</f>
        <v>PR 昆明美晨(C5W0)</v>
      </c>
      <c r="D74" s="2" t="str">
        <f t="shared" si="59"/>
        <v>2026</v>
      </c>
      <c r="E74" s="2" t="str">
        <f t="shared" si="60"/>
        <v>夏</v>
      </c>
      <c r="F74" s="2" t="str">
        <f t="shared" si="61"/>
        <v>一般毛衣(SWEATER)(KW)</v>
      </c>
      <c r="H74" s="2" t="str">
        <f t="shared" si="62"/>
        <v>PRKWG2303M</v>
      </c>
      <c r="I74" s="2" t="str">
        <f t="shared" si="79"/>
        <v>(99)MIX99</v>
      </c>
      <c r="J74" s="2" t="str">
        <f t="shared" si="86"/>
        <v>160</v>
      </c>
      <c r="K74" s="2" t="str">
        <f>"PRKWG2303M99160"</f>
        <v>PRKWG2303M99160</v>
      </c>
      <c r="L74" s="2" t="str">
        <f t="shared" si="65"/>
        <v>899</v>
      </c>
      <c r="M74" s="1">
        <v>2</v>
      </c>
      <c r="N74" s="1">
        <v>1798</v>
      </c>
      <c r="O74" s="1">
        <v>2</v>
      </c>
      <c r="P74" s="1">
        <v>1798</v>
      </c>
      <c r="Q74" s="1">
        <v>0</v>
      </c>
      <c r="R74" s="1">
        <v>0</v>
      </c>
      <c r="S74" s="1">
        <v>0</v>
      </c>
      <c r="T74" s="1">
        <v>0</v>
      </c>
      <c r="U74" s="1">
        <v>2</v>
      </c>
      <c r="V74" s="1">
        <v>1798</v>
      </c>
    </row>
    <row r="75" spans="1:22" x14ac:dyDescent="0.15">
      <c r="A75" s="2" t="str">
        <f>"C5W0"</f>
        <v>C5W0</v>
      </c>
      <c r="B75" s="2" t="str">
        <f>"川南支社"</f>
        <v>川南支社</v>
      </c>
      <c r="C75" s="2" t="str">
        <f>"PR 昆明美晨(C5W0)"</f>
        <v>PR 昆明美晨(C5W0)</v>
      </c>
      <c r="D75" s="2" t="str">
        <f t="shared" si="59"/>
        <v>2026</v>
      </c>
      <c r="E75" s="2" t="str">
        <f t="shared" si="60"/>
        <v>夏</v>
      </c>
      <c r="F75" s="2" t="str">
        <f t="shared" si="61"/>
        <v>一般毛衣(SWEATER)(KW)</v>
      </c>
      <c r="H75" s="2" t="str">
        <f t="shared" si="62"/>
        <v>PRKWG2303M</v>
      </c>
      <c r="I75" s="2" t="str">
        <f t="shared" si="79"/>
        <v>(99)MIX99</v>
      </c>
      <c r="J75" s="2" t="str">
        <f t="shared" si="87"/>
        <v>165</v>
      </c>
      <c r="K75" s="2" t="str">
        <f>"PRKWG2303M99165"</f>
        <v>PRKWG2303M99165</v>
      </c>
      <c r="L75" s="2" t="str">
        <f t="shared" si="65"/>
        <v>899</v>
      </c>
      <c r="M75" s="1">
        <v>1</v>
      </c>
      <c r="N75" s="1">
        <v>899</v>
      </c>
      <c r="O75" s="1">
        <v>1</v>
      </c>
      <c r="P75" s="1">
        <v>899</v>
      </c>
      <c r="Q75" s="1">
        <v>0</v>
      </c>
      <c r="R75" s="1">
        <v>0</v>
      </c>
      <c r="S75" s="1">
        <v>0</v>
      </c>
      <c r="T75" s="1">
        <v>0</v>
      </c>
      <c r="U75" s="1">
        <v>1</v>
      </c>
      <c r="V75" s="1">
        <v>899</v>
      </c>
    </row>
    <row r="76" spans="1:22" x14ac:dyDescent="0.15">
      <c r="A76" s="2" t="str">
        <f t="shared" ref="A76:A79" si="88">"C5XN"</f>
        <v>C5XN</v>
      </c>
      <c r="B76" s="2" t="str">
        <f t="shared" ref="B76:B79" si="89">"西北支社"</f>
        <v>西北支社</v>
      </c>
      <c r="C76" s="2" t="str">
        <f t="shared" ref="C76:C79" si="90">"PR 西安开元(C5XN)"</f>
        <v>PR 西安开元(C5XN)</v>
      </c>
      <c r="D76" s="2" t="str">
        <f t="shared" si="59"/>
        <v>2026</v>
      </c>
      <c r="E76" s="2" t="str">
        <f t="shared" si="60"/>
        <v>夏</v>
      </c>
      <c r="F76" s="2" t="str">
        <f t="shared" si="61"/>
        <v>一般毛衣(SWEATER)(KW)</v>
      </c>
      <c r="H76" s="2" t="str">
        <f t="shared" si="62"/>
        <v>PRKWG2303M</v>
      </c>
      <c r="I76" s="2" t="str">
        <f t="shared" ref="I76:I81" si="91">"(99)MIX99"</f>
        <v>(99)MIX99</v>
      </c>
      <c r="J76" s="2" t="str">
        <f>"155"</f>
        <v>155</v>
      </c>
      <c r="K76" s="2" t="str">
        <f>"PRKWG2303M99155"</f>
        <v>PRKWG2303M99155</v>
      </c>
      <c r="L76" s="2" t="str">
        <f t="shared" si="65"/>
        <v>899</v>
      </c>
      <c r="M76" s="1">
        <v>6</v>
      </c>
      <c r="N76" s="1">
        <v>5394</v>
      </c>
      <c r="O76" s="1">
        <v>6</v>
      </c>
      <c r="P76" s="1">
        <v>5394</v>
      </c>
      <c r="Q76" s="1">
        <v>0</v>
      </c>
      <c r="R76" s="1">
        <v>0</v>
      </c>
      <c r="S76" s="1">
        <v>0</v>
      </c>
      <c r="T76" s="1">
        <v>0</v>
      </c>
      <c r="U76" s="1">
        <v>6</v>
      </c>
      <c r="V76" s="1">
        <v>5394</v>
      </c>
    </row>
    <row r="77" spans="1:22" x14ac:dyDescent="0.15">
      <c r="A77" s="2" t="str">
        <f t="shared" si="88"/>
        <v>C5XN</v>
      </c>
      <c r="B77" s="2" t="str">
        <f t="shared" si="89"/>
        <v>西北支社</v>
      </c>
      <c r="C77" s="2" t="str">
        <f t="shared" si="90"/>
        <v>PR 西安开元(C5XN)</v>
      </c>
      <c r="D77" s="2" t="str">
        <f t="shared" si="59"/>
        <v>2026</v>
      </c>
      <c r="E77" s="2" t="str">
        <f t="shared" si="60"/>
        <v>夏</v>
      </c>
      <c r="F77" s="2" t="str">
        <f t="shared" si="61"/>
        <v>一般毛衣(SWEATER)(KW)</v>
      </c>
      <c r="H77" s="2" t="str">
        <f t="shared" si="62"/>
        <v>PRKWG2303M</v>
      </c>
      <c r="I77" s="2" t="str">
        <f t="shared" si="91"/>
        <v>(99)MIX99</v>
      </c>
      <c r="J77" s="2" t="str">
        <f t="shared" ref="J77:J80" si="92">"160"</f>
        <v>160</v>
      </c>
      <c r="K77" s="2" t="str">
        <f>"PRKWG2303M99160"</f>
        <v>PRKWG2303M99160</v>
      </c>
      <c r="L77" s="2" t="str">
        <f t="shared" si="65"/>
        <v>899</v>
      </c>
      <c r="M77" s="1">
        <v>5</v>
      </c>
      <c r="N77" s="1">
        <v>4495</v>
      </c>
      <c r="O77" s="1">
        <v>5</v>
      </c>
      <c r="P77" s="1">
        <v>4495</v>
      </c>
      <c r="Q77" s="1">
        <v>0</v>
      </c>
      <c r="R77" s="1">
        <v>0</v>
      </c>
      <c r="S77" s="1">
        <v>4</v>
      </c>
      <c r="T77" s="1">
        <v>3596</v>
      </c>
      <c r="U77" s="1">
        <v>9</v>
      </c>
      <c r="V77" s="1">
        <v>8091</v>
      </c>
    </row>
    <row r="78" spans="1:22" x14ac:dyDescent="0.15">
      <c r="A78" s="2" t="str">
        <f t="shared" si="88"/>
        <v>C5XN</v>
      </c>
      <c r="B78" s="2" t="str">
        <f t="shared" si="89"/>
        <v>西北支社</v>
      </c>
      <c r="C78" s="2" t="str">
        <f t="shared" si="90"/>
        <v>PR 西安开元(C5XN)</v>
      </c>
      <c r="D78" s="2" t="str">
        <f t="shared" si="59"/>
        <v>2026</v>
      </c>
      <c r="E78" s="2" t="str">
        <f t="shared" si="60"/>
        <v>夏</v>
      </c>
      <c r="F78" s="2" t="str">
        <f t="shared" si="61"/>
        <v>一般毛衣(SWEATER)(KW)</v>
      </c>
      <c r="H78" s="2" t="str">
        <f t="shared" si="62"/>
        <v>PRKWG2303M</v>
      </c>
      <c r="I78" s="2" t="str">
        <f t="shared" si="91"/>
        <v>(99)MIX99</v>
      </c>
      <c r="J78" s="2" t="str">
        <f t="shared" ref="J78:J81" si="93">"165"</f>
        <v>165</v>
      </c>
      <c r="K78" s="2" t="str">
        <f>"PRKWG2303M99165"</f>
        <v>PRKWG2303M99165</v>
      </c>
      <c r="L78" s="2" t="str">
        <f t="shared" si="65"/>
        <v>899</v>
      </c>
      <c r="M78" s="1">
        <v>5</v>
      </c>
      <c r="N78" s="1">
        <v>4495</v>
      </c>
      <c r="O78" s="1">
        <v>5</v>
      </c>
      <c r="P78" s="1">
        <v>4495</v>
      </c>
      <c r="Q78" s="1">
        <v>0</v>
      </c>
      <c r="R78" s="1">
        <v>0</v>
      </c>
      <c r="S78" s="1">
        <v>0</v>
      </c>
      <c r="T78" s="1">
        <v>0</v>
      </c>
      <c r="U78" s="1">
        <v>5</v>
      </c>
      <c r="V78" s="1">
        <v>4495</v>
      </c>
    </row>
    <row r="79" spans="1:22" x14ac:dyDescent="0.15">
      <c r="A79" s="2" t="str">
        <f t="shared" si="88"/>
        <v>C5XN</v>
      </c>
      <c r="B79" s="2" t="str">
        <f t="shared" si="89"/>
        <v>西北支社</v>
      </c>
      <c r="C79" s="2" t="str">
        <f t="shared" si="90"/>
        <v>PR 西安开元(C5XN)</v>
      </c>
      <c r="D79" s="2" t="str">
        <f t="shared" si="59"/>
        <v>2026</v>
      </c>
      <c r="E79" s="2" t="str">
        <f t="shared" si="60"/>
        <v>夏</v>
      </c>
      <c r="F79" s="2" t="str">
        <f t="shared" si="61"/>
        <v>一般毛衣(SWEATER)(KW)</v>
      </c>
      <c r="H79" s="2" t="str">
        <f t="shared" si="62"/>
        <v>PRKWG2303M</v>
      </c>
      <c r="I79" s="2" t="str">
        <f t="shared" si="91"/>
        <v>(99)MIX99</v>
      </c>
      <c r="J79" s="2" t="str">
        <f>"170"</f>
        <v>170</v>
      </c>
      <c r="K79" s="2" t="str">
        <f>"PRKWG2303M99170"</f>
        <v>PRKWG2303M99170</v>
      </c>
      <c r="L79" s="2" t="str">
        <f t="shared" si="65"/>
        <v>899</v>
      </c>
      <c r="M79" s="1">
        <v>2</v>
      </c>
      <c r="N79" s="1">
        <v>1798</v>
      </c>
      <c r="O79" s="1">
        <v>2</v>
      </c>
      <c r="P79" s="1">
        <v>1798</v>
      </c>
      <c r="Q79" s="1">
        <v>0</v>
      </c>
      <c r="R79" s="1">
        <v>0</v>
      </c>
      <c r="S79" s="1">
        <v>0</v>
      </c>
      <c r="T79" s="1">
        <v>0</v>
      </c>
      <c r="U79" s="1">
        <v>2</v>
      </c>
      <c r="V79" s="1">
        <v>1798</v>
      </c>
    </row>
    <row r="80" spans="1:22" x14ac:dyDescent="0.15">
      <c r="A80" s="2" t="str">
        <f>"C62S"</f>
        <v>C62S</v>
      </c>
      <c r="B80" s="2" t="str">
        <f>"华北支社"</f>
        <v>华北支社</v>
      </c>
      <c r="C80" s="2" t="str">
        <f>"PR 天津乐宾(C62S)"</f>
        <v>PR 天津乐宾(C62S)</v>
      </c>
      <c r="D80" s="2" t="str">
        <f t="shared" si="59"/>
        <v>2026</v>
      </c>
      <c r="E80" s="2" t="str">
        <f t="shared" si="60"/>
        <v>夏</v>
      </c>
      <c r="F80" s="2" t="str">
        <f t="shared" si="61"/>
        <v>一般毛衣(SWEATER)(KW)</v>
      </c>
      <c r="H80" s="2" t="str">
        <f t="shared" si="62"/>
        <v>PRKWG2303M</v>
      </c>
      <c r="I80" s="2" t="str">
        <f t="shared" si="91"/>
        <v>(99)MIX99</v>
      </c>
      <c r="J80" s="2" t="str">
        <f t="shared" si="92"/>
        <v>160</v>
      </c>
      <c r="K80" s="2" t="str">
        <f>"PRKWG2303M99160"</f>
        <v>PRKWG2303M99160</v>
      </c>
      <c r="L80" s="2" t="str">
        <f t="shared" si="65"/>
        <v>899</v>
      </c>
      <c r="M80" s="1">
        <v>2</v>
      </c>
      <c r="N80" s="1">
        <v>1798</v>
      </c>
      <c r="O80" s="1">
        <v>2</v>
      </c>
      <c r="P80" s="1">
        <v>1798</v>
      </c>
      <c r="Q80" s="1">
        <v>0</v>
      </c>
      <c r="R80" s="1">
        <v>0</v>
      </c>
      <c r="S80" s="1">
        <v>0</v>
      </c>
      <c r="T80" s="1">
        <v>0</v>
      </c>
      <c r="U80" s="1">
        <v>2</v>
      </c>
      <c r="V80" s="1">
        <v>1798</v>
      </c>
    </row>
    <row r="81" spans="1:22" x14ac:dyDescent="0.15">
      <c r="A81" s="2" t="str">
        <f>"C62S"</f>
        <v>C62S</v>
      </c>
      <c r="B81" s="2" t="str">
        <f>"华北支社"</f>
        <v>华北支社</v>
      </c>
      <c r="C81" s="2" t="str">
        <f>"PR 天津乐宾(C62S)"</f>
        <v>PR 天津乐宾(C62S)</v>
      </c>
      <c r="D81" s="2" t="str">
        <f t="shared" si="59"/>
        <v>2026</v>
      </c>
      <c r="E81" s="2" t="str">
        <f t="shared" si="60"/>
        <v>夏</v>
      </c>
      <c r="F81" s="2" t="str">
        <f t="shared" si="61"/>
        <v>一般毛衣(SWEATER)(KW)</v>
      </c>
      <c r="H81" s="2" t="str">
        <f t="shared" si="62"/>
        <v>PRKWG2303M</v>
      </c>
      <c r="I81" s="2" t="str">
        <f t="shared" si="91"/>
        <v>(99)MIX99</v>
      </c>
      <c r="J81" s="2" t="str">
        <f t="shared" si="93"/>
        <v>165</v>
      </c>
      <c r="K81" s="2" t="str">
        <f>"PRKWG2303M99165"</f>
        <v>PRKWG2303M99165</v>
      </c>
      <c r="L81" s="2" t="str">
        <f t="shared" si="65"/>
        <v>899</v>
      </c>
      <c r="M81" s="1">
        <v>2</v>
      </c>
      <c r="N81" s="1">
        <v>1798</v>
      </c>
      <c r="O81" s="1">
        <v>2</v>
      </c>
      <c r="P81" s="1">
        <v>1798</v>
      </c>
      <c r="Q81" s="1">
        <v>0</v>
      </c>
      <c r="R81" s="1">
        <v>0</v>
      </c>
      <c r="S81" s="1">
        <v>0</v>
      </c>
      <c r="T81" s="1">
        <v>0</v>
      </c>
      <c r="U81" s="1">
        <v>2</v>
      </c>
      <c r="V81" s="1">
        <v>1798</v>
      </c>
    </row>
    <row r="82" spans="1:22" x14ac:dyDescent="0.15">
      <c r="A82" s="2" t="str">
        <f t="shared" ref="A82:A84" si="94">"C641"</f>
        <v>C641</v>
      </c>
      <c r="B82" s="2" t="str">
        <f t="shared" ref="B82:B84" si="95">"西北支社"</f>
        <v>西北支社</v>
      </c>
      <c r="C82" s="2" t="str">
        <f t="shared" ref="C82:C84" si="96">"PR 兰州王府井(C641)"</f>
        <v>PR 兰州王府井(C641)</v>
      </c>
      <c r="D82" s="2" t="str">
        <f t="shared" si="59"/>
        <v>2026</v>
      </c>
      <c r="E82" s="2" t="str">
        <f t="shared" si="60"/>
        <v>夏</v>
      </c>
      <c r="F82" s="2" t="str">
        <f t="shared" si="61"/>
        <v>一般毛衣(SWEATER)(KW)</v>
      </c>
      <c r="H82" s="2" t="str">
        <f t="shared" si="62"/>
        <v>PRKWG2303M</v>
      </c>
      <c r="I82" s="2" t="str">
        <f t="shared" ref="I82:I86" si="97">"(99)MIX99"</f>
        <v>(99)MIX99</v>
      </c>
      <c r="J82" s="2" t="str">
        <f t="shared" ref="J82:J85" si="98">"160"</f>
        <v>160</v>
      </c>
      <c r="K82" s="2" t="str">
        <f>"PRKWG2303M99160"</f>
        <v>PRKWG2303M99160</v>
      </c>
      <c r="L82" s="2" t="str">
        <f t="shared" si="65"/>
        <v>899</v>
      </c>
      <c r="M82" s="1">
        <v>2</v>
      </c>
      <c r="N82" s="1">
        <v>1798</v>
      </c>
      <c r="O82" s="1">
        <v>2</v>
      </c>
      <c r="P82" s="1">
        <v>1798</v>
      </c>
      <c r="Q82" s="1">
        <v>0</v>
      </c>
      <c r="R82" s="1">
        <v>0</v>
      </c>
      <c r="S82" s="1">
        <v>1</v>
      </c>
      <c r="T82" s="1">
        <v>899</v>
      </c>
      <c r="U82" s="1">
        <v>3</v>
      </c>
      <c r="V82" s="1">
        <v>2697</v>
      </c>
    </row>
    <row r="83" spans="1:22" x14ac:dyDescent="0.15">
      <c r="A83" s="2" t="str">
        <f t="shared" si="94"/>
        <v>C641</v>
      </c>
      <c r="B83" s="2" t="str">
        <f t="shared" si="95"/>
        <v>西北支社</v>
      </c>
      <c r="C83" s="2" t="str">
        <f t="shared" si="96"/>
        <v>PR 兰州王府井(C641)</v>
      </c>
      <c r="D83" s="2" t="str">
        <f t="shared" si="59"/>
        <v>2026</v>
      </c>
      <c r="E83" s="2" t="str">
        <f t="shared" si="60"/>
        <v>夏</v>
      </c>
      <c r="F83" s="2" t="str">
        <f t="shared" si="61"/>
        <v>一般毛衣(SWEATER)(KW)</v>
      </c>
      <c r="H83" s="2" t="str">
        <f t="shared" si="62"/>
        <v>PRKWG2303M</v>
      </c>
      <c r="I83" s="2" t="str">
        <f t="shared" si="97"/>
        <v>(99)MIX99</v>
      </c>
      <c r="J83" s="2" t="str">
        <f t="shared" ref="J83:J86" si="99">"165"</f>
        <v>165</v>
      </c>
      <c r="K83" s="2" t="str">
        <f>"PRKWG2303M99165"</f>
        <v>PRKWG2303M99165</v>
      </c>
      <c r="L83" s="2" t="str">
        <f t="shared" si="65"/>
        <v>899</v>
      </c>
      <c r="M83" s="1">
        <v>3</v>
      </c>
      <c r="N83" s="1">
        <v>2697</v>
      </c>
      <c r="O83" s="1">
        <v>3</v>
      </c>
      <c r="P83" s="1">
        <v>2697</v>
      </c>
      <c r="Q83" s="1">
        <v>0</v>
      </c>
      <c r="R83" s="1">
        <v>0</v>
      </c>
      <c r="S83" s="1">
        <v>0</v>
      </c>
      <c r="T83" s="1">
        <v>0</v>
      </c>
      <c r="U83" s="1">
        <v>3</v>
      </c>
      <c r="V83" s="1">
        <v>2697</v>
      </c>
    </row>
    <row r="84" spans="1:22" x14ac:dyDescent="0.15">
      <c r="A84" s="2" t="str">
        <f t="shared" si="94"/>
        <v>C641</v>
      </c>
      <c r="B84" s="2" t="str">
        <f t="shared" si="95"/>
        <v>西北支社</v>
      </c>
      <c r="C84" s="2" t="str">
        <f t="shared" si="96"/>
        <v>PR 兰州王府井(C641)</v>
      </c>
      <c r="D84" s="2" t="str">
        <f t="shared" si="59"/>
        <v>2026</v>
      </c>
      <c r="E84" s="2" t="str">
        <f t="shared" si="60"/>
        <v>夏</v>
      </c>
      <c r="F84" s="2" t="str">
        <f t="shared" si="61"/>
        <v>一般毛衣(SWEATER)(KW)</v>
      </c>
      <c r="H84" s="2" t="str">
        <f t="shared" si="62"/>
        <v>PRKWG2303M</v>
      </c>
      <c r="I84" s="2" t="str">
        <f t="shared" si="97"/>
        <v>(99)MIX99</v>
      </c>
      <c r="J84" s="2" t="str">
        <f>"170"</f>
        <v>170</v>
      </c>
      <c r="K84" s="2" t="str">
        <f>"PRKWG2303M99170"</f>
        <v>PRKWG2303M99170</v>
      </c>
      <c r="L84" s="2" t="str">
        <f t="shared" si="65"/>
        <v>899</v>
      </c>
      <c r="M84" s="1">
        <v>1</v>
      </c>
      <c r="N84" s="1">
        <v>899</v>
      </c>
      <c r="O84" s="1">
        <v>1</v>
      </c>
      <c r="P84" s="1">
        <v>899</v>
      </c>
      <c r="Q84" s="1">
        <v>0</v>
      </c>
      <c r="R84" s="1">
        <v>0</v>
      </c>
      <c r="S84" s="1">
        <v>0</v>
      </c>
      <c r="T84" s="1">
        <v>0</v>
      </c>
      <c r="U84" s="1">
        <v>1</v>
      </c>
      <c r="V84" s="1">
        <v>899</v>
      </c>
    </row>
    <row r="85" spans="1:22" x14ac:dyDescent="0.15">
      <c r="A85" s="2" t="str">
        <f>"C69P"</f>
        <v>C69P</v>
      </c>
      <c r="B85" s="2" t="str">
        <f>"川南支社"</f>
        <v>川南支社</v>
      </c>
      <c r="C85" s="2" t="str">
        <f>"PR 遂宁新都(C69P)"</f>
        <v>PR 遂宁新都(C69P)</v>
      </c>
      <c r="D85" s="2" t="str">
        <f t="shared" si="59"/>
        <v>2026</v>
      </c>
      <c r="E85" s="2" t="str">
        <f t="shared" si="60"/>
        <v>夏</v>
      </c>
      <c r="F85" s="2" t="str">
        <f t="shared" si="61"/>
        <v>一般毛衣(SWEATER)(KW)</v>
      </c>
      <c r="H85" s="2" t="str">
        <f t="shared" si="62"/>
        <v>PRKWG2303M</v>
      </c>
      <c r="I85" s="2" t="str">
        <f t="shared" si="97"/>
        <v>(99)MIX99</v>
      </c>
      <c r="J85" s="2" t="str">
        <f t="shared" si="98"/>
        <v>160</v>
      </c>
      <c r="K85" s="2" t="str">
        <f>"PRKWG2303M99160"</f>
        <v>PRKWG2303M99160</v>
      </c>
      <c r="L85" s="2" t="str">
        <f t="shared" si="65"/>
        <v>899</v>
      </c>
      <c r="M85" s="1">
        <v>2</v>
      </c>
      <c r="N85" s="1">
        <v>1798</v>
      </c>
      <c r="O85" s="1">
        <v>2</v>
      </c>
      <c r="P85" s="1">
        <v>1798</v>
      </c>
      <c r="Q85" s="1">
        <v>0</v>
      </c>
      <c r="R85" s="1">
        <v>0</v>
      </c>
      <c r="S85" s="1">
        <v>2</v>
      </c>
      <c r="T85" s="1">
        <v>1798</v>
      </c>
      <c r="U85" s="1">
        <v>4</v>
      </c>
      <c r="V85" s="1">
        <v>3596</v>
      </c>
    </row>
    <row r="86" spans="1:22" x14ac:dyDescent="0.15">
      <c r="A86" s="2" t="str">
        <f>"C69P"</f>
        <v>C69P</v>
      </c>
      <c r="B86" s="2" t="str">
        <f>"川南支社"</f>
        <v>川南支社</v>
      </c>
      <c r="C86" s="2" t="str">
        <f>"PR 遂宁新都(C69P)"</f>
        <v>PR 遂宁新都(C69P)</v>
      </c>
      <c r="D86" s="2" t="str">
        <f t="shared" si="59"/>
        <v>2026</v>
      </c>
      <c r="E86" s="2" t="str">
        <f t="shared" si="60"/>
        <v>夏</v>
      </c>
      <c r="F86" s="2" t="str">
        <f t="shared" si="61"/>
        <v>一般毛衣(SWEATER)(KW)</v>
      </c>
      <c r="H86" s="2" t="str">
        <f t="shared" si="62"/>
        <v>PRKWG2303M</v>
      </c>
      <c r="I86" s="2" t="str">
        <f t="shared" si="97"/>
        <v>(99)MIX99</v>
      </c>
      <c r="J86" s="2" t="str">
        <f t="shared" si="99"/>
        <v>165</v>
      </c>
      <c r="K86" s="2" t="str">
        <f>"PRKWG2303M99165"</f>
        <v>PRKWG2303M99165</v>
      </c>
      <c r="L86" s="2" t="str">
        <f t="shared" si="65"/>
        <v>899</v>
      </c>
      <c r="M86" s="1">
        <v>1</v>
      </c>
      <c r="N86" s="1">
        <v>899</v>
      </c>
      <c r="O86" s="1">
        <v>1</v>
      </c>
      <c r="P86" s="1">
        <v>899</v>
      </c>
      <c r="Q86" s="1">
        <v>0</v>
      </c>
      <c r="R86" s="1">
        <v>0</v>
      </c>
      <c r="S86" s="1">
        <v>1</v>
      </c>
      <c r="T86" s="1">
        <v>899</v>
      </c>
      <c r="U86" s="1">
        <v>2</v>
      </c>
      <c r="V86" s="1">
        <v>1798</v>
      </c>
    </row>
    <row r="87" spans="1:22" x14ac:dyDescent="0.15">
      <c r="A87" s="2" t="str">
        <f t="shared" ref="A87:A88" si="100">"C6B5"</f>
        <v>C6B5</v>
      </c>
      <c r="B87" s="2" t="str">
        <f t="shared" ref="B87:B88" si="101">"东南支社"</f>
        <v>东南支社</v>
      </c>
      <c r="C87" s="2" t="str">
        <f t="shared" ref="C87:C88" si="102">"PR 南昌天虹红谷店(C6B5)"</f>
        <v>PR 南昌天虹红谷店(C6B5)</v>
      </c>
      <c r="D87" s="2" t="str">
        <f t="shared" si="59"/>
        <v>2026</v>
      </c>
      <c r="E87" s="2" t="str">
        <f t="shared" si="60"/>
        <v>夏</v>
      </c>
      <c r="F87" s="2" t="str">
        <f t="shared" si="61"/>
        <v>一般毛衣(SWEATER)(KW)</v>
      </c>
      <c r="H87" s="2" t="str">
        <f t="shared" si="62"/>
        <v>PRKWG2303M</v>
      </c>
      <c r="I87" s="2" t="str">
        <f t="shared" ref="I87:I92" si="103">"(99)MIX99"</f>
        <v>(99)MIX99</v>
      </c>
      <c r="J87" s="2" t="str">
        <f>"160"</f>
        <v>160</v>
      </c>
      <c r="K87" s="2" t="str">
        <f>"PRKWG2303M99160"</f>
        <v>PRKWG2303M99160</v>
      </c>
      <c r="L87" s="2" t="str">
        <f t="shared" si="65"/>
        <v>899</v>
      </c>
      <c r="M87" s="1">
        <v>1</v>
      </c>
      <c r="N87" s="1">
        <v>899</v>
      </c>
      <c r="O87" s="1">
        <v>1</v>
      </c>
      <c r="P87" s="1">
        <v>899</v>
      </c>
      <c r="Q87" s="1">
        <v>0</v>
      </c>
      <c r="R87" s="1">
        <v>0</v>
      </c>
      <c r="S87" s="1">
        <v>1</v>
      </c>
      <c r="T87" s="1">
        <v>899</v>
      </c>
      <c r="U87" s="1">
        <v>2</v>
      </c>
      <c r="V87" s="1">
        <v>1798</v>
      </c>
    </row>
    <row r="88" spans="1:22" x14ac:dyDescent="0.15">
      <c r="A88" s="2" t="str">
        <f t="shared" si="100"/>
        <v>C6B5</v>
      </c>
      <c r="B88" s="2" t="str">
        <f t="shared" si="101"/>
        <v>东南支社</v>
      </c>
      <c r="C88" s="2" t="str">
        <f t="shared" si="102"/>
        <v>PR 南昌天虹红谷店(C6B5)</v>
      </c>
      <c r="D88" s="2" t="str">
        <f t="shared" si="59"/>
        <v>2026</v>
      </c>
      <c r="E88" s="2" t="str">
        <f t="shared" si="60"/>
        <v>夏</v>
      </c>
      <c r="F88" s="2" t="str">
        <f t="shared" si="61"/>
        <v>一般毛衣(SWEATER)(KW)</v>
      </c>
      <c r="H88" s="2" t="str">
        <f t="shared" si="62"/>
        <v>PRKWG2303M</v>
      </c>
      <c r="I88" s="2" t="str">
        <f t="shared" si="103"/>
        <v>(99)MIX99</v>
      </c>
      <c r="J88" s="2" t="str">
        <f>"165"</f>
        <v>165</v>
      </c>
      <c r="K88" s="2" t="str">
        <f>"PRKWG2303M99165"</f>
        <v>PRKWG2303M99165</v>
      </c>
      <c r="L88" s="2" t="str">
        <f t="shared" si="65"/>
        <v>899</v>
      </c>
      <c r="M88" s="1">
        <v>3</v>
      </c>
      <c r="N88" s="1">
        <v>2697</v>
      </c>
      <c r="O88" s="1">
        <v>3</v>
      </c>
      <c r="P88" s="1">
        <v>2697</v>
      </c>
      <c r="Q88" s="1">
        <v>0</v>
      </c>
      <c r="R88" s="1">
        <v>0</v>
      </c>
      <c r="S88" s="1">
        <v>0</v>
      </c>
      <c r="T88" s="1">
        <v>0</v>
      </c>
      <c r="U88" s="1">
        <v>3</v>
      </c>
      <c r="V88" s="1">
        <v>2697</v>
      </c>
    </row>
    <row r="89" spans="1:22" x14ac:dyDescent="0.15">
      <c r="A89" s="2" t="str">
        <f t="shared" ref="A89:A92" si="104">"C6C5"</f>
        <v>C6C5</v>
      </c>
      <c r="B89" s="2" t="str">
        <f t="shared" ref="B89:B92" si="105">"华南支社"</f>
        <v>华南支社</v>
      </c>
      <c r="C89" s="2" t="str">
        <f t="shared" ref="C89:C92" si="106">"PR 深圳南山茂业(C6C5)"</f>
        <v>PR 深圳南山茂业(C6C5)</v>
      </c>
      <c r="D89" s="2" t="str">
        <f t="shared" si="59"/>
        <v>2026</v>
      </c>
      <c r="E89" s="2" t="str">
        <f t="shared" si="60"/>
        <v>夏</v>
      </c>
      <c r="F89" s="2" t="str">
        <f t="shared" si="61"/>
        <v>一般毛衣(SWEATER)(KW)</v>
      </c>
      <c r="H89" s="2" t="str">
        <f t="shared" si="62"/>
        <v>PRKWG2303M</v>
      </c>
      <c r="I89" s="2" t="str">
        <f t="shared" si="103"/>
        <v>(99)MIX99</v>
      </c>
      <c r="J89" s="2" t="str">
        <f>"155"</f>
        <v>155</v>
      </c>
      <c r="K89" s="2" t="str">
        <f>"PRKWG2303M99155"</f>
        <v>PRKWG2303M99155</v>
      </c>
      <c r="L89" s="2" t="str">
        <f t="shared" si="65"/>
        <v>899</v>
      </c>
      <c r="M89" s="1">
        <v>1</v>
      </c>
      <c r="N89" s="1">
        <v>899</v>
      </c>
      <c r="O89" s="1">
        <v>1</v>
      </c>
      <c r="P89" s="1">
        <v>899</v>
      </c>
      <c r="Q89" s="1">
        <v>0</v>
      </c>
      <c r="R89" s="1">
        <v>0</v>
      </c>
      <c r="S89" s="1">
        <v>0</v>
      </c>
      <c r="T89" s="1">
        <v>0</v>
      </c>
      <c r="U89" s="1">
        <v>1</v>
      </c>
      <c r="V89" s="1">
        <v>899</v>
      </c>
    </row>
    <row r="90" spans="1:22" x14ac:dyDescent="0.15">
      <c r="A90" s="2" t="str">
        <f t="shared" si="104"/>
        <v>C6C5</v>
      </c>
      <c r="B90" s="2" t="str">
        <f t="shared" si="105"/>
        <v>华南支社</v>
      </c>
      <c r="C90" s="2" t="str">
        <f t="shared" si="106"/>
        <v>PR 深圳南山茂业(C6C5)</v>
      </c>
      <c r="D90" s="2" t="str">
        <f t="shared" si="59"/>
        <v>2026</v>
      </c>
      <c r="E90" s="2" t="str">
        <f t="shared" si="60"/>
        <v>夏</v>
      </c>
      <c r="F90" s="2" t="str">
        <f t="shared" si="61"/>
        <v>一般毛衣(SWEATER)(KW)</v>
      </c>
      <c r="H90" s="2" t="str">
        <f t="shared" si="62"/>
        <v>PRKWG2303M</v>
      </c>
      <c r="I90" s="2" t="str">
        <f t="shared" si="103"/>
        <v>(99)MIX99</v>
      </c>
      <c r="J90" s="2" t="str">
        <f>"160"</f>
        <v>160</v>
      </c>
      <c r="K90" s="2" t="str">
        <f>"PRKWG2303M99160"</f>
        <v>PRKWG2303M99160</v>
      </c>
      <c r="L90" s="2" t="str">
        <f t="shared" si="65"/>
        <v>899</v>
      </c>
      <c r="M90" s="1">
        <v>4</v>
      </c>
      <c r="N90" s="1">
        <v>3596</v>
      </c>
      <c r="O90" s="1">
        <v>4</v>
      </c>
      <c r="P90" s="1">
        <v>3596</v>
      </c>
      <c r="Q90" s="1">
        <v>0</v>
      </c>
      <c r="R90" s="1">
        <v>0</v>
      </c>
      <c r="S90" s="1">
        <v>1</v>
      </c>
      <c r="T90" s="1">
        <v>899</v>
      </c>
      <c r="U90" s="1">
        <v>5</v>
      </c>
      <c r="V90" s="1">
        <v>4495</v>
      </c>
    </row>
    <row r="91" spans="1:22" x14ac:dyDescent="0.15">
      <c r="A91" s="2" t="str">
        <f t="shared" si="104"/>
        <v>C6C5</v>
      </c>
      <c r="B91" s="2" t="str">
        <f t="shared" si="105"/>
        <v>华南支社</v>
      </c>
      <c r="C91" s="2" t="str">
        <f t="shared" si="106"/>
        <v>PR 深圳南山茂业(C6C5)</v>
      </c>
      <c r="D91" s="2" t="str">
        <f t="shared" si="59"/>
        <v>2026</v>
      </c>
      <c r="E91" s="2" t="str">
        <f t="shared" si="60"/>
        <v>夏</v>
      </c>
      <c r="F91" s="2" t="str">
        <f t="shared" si="61"/>
        <v>一般毛衣(SWEATER)(KW)</v>
      </c>
      <c r="H91" s="2" t="str">
        <f t="shared" si="62"/>
        <v>PRKWG2303M</v>
      </c>
      <c r="I91" s="2" t="str">
        <f t="shared" si="103"/>
        <v>(99)MIX99</v>
      </c>
      <c r="J91" s="2" t="str">
        <f>"165"</f>
        <v>165</v>
      </c>
      <c r="K91" s="2" t="str">
        <f>"PRKWG2303M99165"</f>
        <v>PRKWG2303M99165</v>
      </c>
      <c r="L91" s="2" t="str">
        <f t="shared" si="65"/>
        <v>899</v>
      </c>
      <c r="M91" s="1">
        <v>6</v>
      </c>
      <c r="N91" s="1">
        <v>5394</v>
      </c>
      <c r="O91" s="1">
        <v>6</v>
      </c>
      <c r="P91" s="1">
        <v>5394</v>
      </c>
      <c r="Q91" s="1">
        <v>0</v>
      </c>
      <c r="R91" s="1">
        <v>0</v>
      </c>
      <c r="S91" s="1">
        <v>0</v>
      </c>
      <c r="T91" s="1">
        <v>0</v>
      </c>
      <c r="U91" s="1">
        <v>6</v>
      </c>
      <c r="V91" s="1">
        <v>5394</v>
      </c>
    </row>
    <row r="92" spans="1:22" x14ac:dyDescent="0.15">
      <c r="A92" s="2" t="str">
        <f t="shared" si="104"/>
        <v>C6C5</v>
      </c>
      <c r="B92" s="2" t="str">
        <f t="shared" si="105"/>
        <v>华南支社</v>
      </c>
      <c r="C92" s="2" t="str">
        <f t="shared" si="106"/>
        <v>PR 深圳南山茂业(C6C5)</v>
      </c>
      <c r="D92" s="2" t="str">
        <f t="shared" si="59"/>
        <v>2026</v>
      </c>
      <c r="E92" s="2" t="str">
        <f t="shared" si="60"/>
        <v>夏</v>
      </c>
      <c r="F92" s="2" t="str">
        <f t="shared" si="61"/>
        <v>一般毛衣(SWEATER)(KW)</v>
      </c>
      <c r="H92" s="2" t="str">
        <f t="shared" si="62"/>
        <v>PRKWG2303M</v>
      </c>
      <c r="I92" s="2" t="str">
        <f t="shared" si="103"/>
        <v>(99)MIX99</v>
      </c>
      <c r="J92" s="2" t="str">
        <f>"170"</f>
        <v>170</v>
      </c>
      <c r="K92" s="2" t="str">
        <f>"PRKWG2303M99170"</f>
        <v>PRKWG2303M99170</v>
      </c>
      <c r="L92" s="2" t="str">
        <f t="shared" si="65"/>
        <v>899</v>
      </c>
      <c r="M92" s="1">
        <v>2</v>
      </c>
      <c r="N92" s="1">
        <v>1798</v>
      </c>
      <c r="O92" s="1">
        <v>2</v>
      </c>
      <c r="P92" s="1">
        <v>1798</v>
      </c>
      <c r="Q92" s="1">
        <v>0</v>
      </c>
      <c r="R92" s="1">
        <v>0</v>
      </c>
      <c r="S92" s="1">
        <v>0</v>
      </c>
      <c r="T92" s="1">
        <v>0</v>
      </c>
      <c r="U92" s="1">
        <v>2</v>
      </c>
      <c r="V92" s="1">
        <v>1798</v>
      </c>
    </row>
    <row r="93" spans="1:22" x14ac:dyDescent="0.15">
      <c r="A93" s="2" t="str">
        <f t="shared" ref="A93:A96" si="107">"C6DW"</f>
        <v>C6DW</v>
      </c>
      <c r="B93" s="2" t="str">
        <f t="shared" ref="B93:B96" si="108">"川南支社"</f>
        <v>川南支社</v>
      </c>
      <c r="C93" s="2" t="str">
        <f t="shared" ref="C93:C96" si="109">"PR 昆明王府井(C6DW)"</f>
        <v>PR 昆明王府井(C6DW)</v>
      </c>
      <c r="D93" s="2" t="str">
        <f t="shared" si="59"/>
        <v>2026</v>
      </c>
      <c r="E93" s="2" t="str">
        <f t="shared" si="60"/>
        <v>夏</v>
      </c>
      <c r="F93" s="2" t="str">
        <f t="shared" si="61"/>
        <v>一般毛衣(SWEATER)(KW)</v>
      </c>
      <c r="H93" s="2" t="str">
        <f t="shared" si="62"/>
        <v>PRKWG2303M</v>
      </c>
      <c r="I93" s="2" t="str">
        <f t="shared" ref="I93:I96" si="110">"(99)MIX99"</f>
        <v>(99)MIX99</v>
      </c>
      <c r="J93" s="2" t="str">
        <f>"155"</f>
        <v>155</v>
      </c>
      <c r="K93" s="2" t="str">
        <f>"PRKWG2303M99155"</f>
        <v>PRKWG2303M99155</v>
      </c>
      <c r="L93" s="2" t="str">
        <f t="shared" si="65"/>
        <v>899</v>
      </c>
      <c r="M93" s="1">
        <v>1</v>
      </c>
      <c r="N93" s="1">
        <v>899</v>
      </c>
      <c r="O93" s="1">
        <v>2</v>
      </c>
      <c r="P93" s="1">
        <v>1798</v>
      </c>
      <c r="Q93" s="1">
        <v>1</v>
      </c>
      <c r="R93" s="1">
        <v>899</v>
      </c>
      <c r="S93" s="1">
        <v>0</v>
      </c>
      <c r="T93" s="1">
        <v>0</v>
      </c>
      <c r="U93" s="1">
        <v>1</v>
      </c>
      <c r="V93" s="1">
        <v>899</v>
      </c>
    </row>
    <row r="94" spans="1:22" x14ac:dyDescent="0.15">
      <c r="A94" s="2" t="str">
        <f t="shared" si="107"/>
        <v>C6DW</v>
      </c>
      <c r="B94" s="2" t="str">
        <f t="shared" si="108"/>
        <v>川南支社</v>
      </c>
      <c r="C94" s="2" t="str">
        <f t="shared" si="109"/>
        <v>PR 昆明王府井(C6DW)</v>
      </c>
      <c r="D94" s="2" t="str">
        <f t="shared" ref="D94:D143" si="111">"2026"</f>
        <v>2026</v>
      </c>
      <c r="E94" s="2" t="str">
        <f t="shared" ref="E94:E143" si="112">"夏"</f>
        <v>夏</v>
      </c>
      <c r="F94" s="2" t="str">
        <f t="shared" ref="F94:F143" si="113">"一般毛衣(SWEATER)(KW)"</f>
        <v>一般毛衣(SWEATER)(KW)</v>
      </c>
      <c r="H94" s="2" t="str">
        <f t="shared" ref="H94:H143" si="114">"PRKWG2303M"</f>
        <v>PRKWG2303M</v>
      </c>
      <c r="I94" s="2" t="str">
        <f t="shared" si="110"/>
        <v>(99)MIX99</v>
      </c>
      <c r="J94" s="2" t="str">
        <f>"160"</f>
        <v>160</v>
      </c>
      <c r="K94" s="2" t="str">
        <f>"PRKWG2303M99160"</f>
        <v>PRKWG2303M99160</v>
      </c>
      <c r="L94" s="2" t="str">
        <f t="shared" ref="L94:L143" si="115">"899"</f>
        <v>899</v>
      </c>
      <c r="M94" s="1">
        <v>6</v>
      </c>
      <c r="N94" s="1">
        <v>5394</v>
      </c>
      <c r="O94" s="1">
        <v>6</v>
      </c>
      <c r="P94" s="1">
        <v>5394</v>
      </c>
      <c r="Q94" s="1">
        <v>0</v>
      </c>
      <c r="R94" s="1">
        <v>0</v>
      </c>
      <c r="S94" s="1">
        <v>0</v>
      </c>
      <c r="T94" s="1">
        <v>0</v>
      </c>
      <c r="U94" s="1">
        <v>6</v>
      </c>
      <c r="V94" s="1">
        <v>5394</v>
      </c>
    </row>
    <row r="95" spans="1:22" x14ac:dyDescent="0.15">
      <c r="A95" s="2" t="str">
        <f t="shared" si="107"/>
        <v>C6DW</v>
      </c>
      <c r="B95" s="2" t="str">
        <f t="shared" si="108"/>
        <v>川南支社</v>
      </c>
      <c r="C95" s="2" t="str">
        <f t="shared" si="109"/>
        <v>PR 昆明王府井(C6DW)</v>
      </c>
      <c r="D95" s="2" t="str">
        <f t="shared" si="111"/>
        <v>2026</v>
      </c>
      <c r="E95" s="2" t="str">
        <f t="shared" si="112"/>
        <v>夏</v>
      </c>
      <c r="F95" s="2" t="str">
        <f t="shared" si="113"/>
        <v>一般毛衣(SWEATER)(KW)</v>
      </c>
      <c r="H95" s="2" t="str">
        <f t="shared" si="114"/>
        <v>PRKWG2303M</v>
      </c>
      <c r="I95" s="2" t="str">
        <f t="shared" si="110"/>
        <v>(99)MIX99</v>
      </c>
      <c r="J95" s="2" t="str">
        <f>"165"</f>
        <v>165</v>
      </c>
      <c r="K95" s="2" t="str">
        <f>"PRKWG2303M99165"</f>
        <v>PRKWG2303M99165</v>
      </c>
      <c r="L95" s="2" t="str">
        <f t="shared" si="115"/>
        <v>899</v>
      </c>
      <c r="M95" s="1">
        <v>2</v>
      </c>
      <c r="N95" s="1">
        <v>1798</v>
      </c>
      <c r="O95" s="1">
        <v>2</v>
      </c>
      <c r="P95" s="1">
        <v>1798</v>
      </c>
      <c r="Q95" s="1">
        <v>0</v>
      </c>
      <c r="R95" s="1">
        <v>0</v>
      </c>
      <c r="S95" s="1">
        <v>0</v>
      </c>
      <c r="T95" s="1">
        <v>0</v>
      </c>
      <c r="U95" s="1">
        <v>2</v>
      </c>
      <c r="V95" s="1">
        <v>1798</v>
      </c>
    </row>
    <row r="96" spans="1:22" x14ac:dyDescent="0.15">
      <c r="A96" s="2" t="str">
        <f t="shared" si="107"/>
        <v>C6DW</v>
      </c>
      <c r="B96" s="2" t="str">
        <f t="shared" si="108"/>
        <v>川南支社</v>
      </c>
      <c r="C96" s="2" t="str">
        <f t="shared" si="109"/>
        <v>PR 昆明王府井(C6DW)</v>
      </c>
      <c r="D96" s="2" t="str">
        <f t="shared" si="111"/>
        <v>2026</v>
      </c>
      <c r="E96" s="2" t="str">
        <f t="shared" si="112"/>
        <v>夏</v>
      </c>
      <c r="F96" s="2" t="str">
        <f t="shared" si="113"/>
        <v>一般毛衣(SWEATER)(KW)</v>
      </c>
      <c r="H96" s="2" t="str">
        <f t="shared" si="114"/>
        <v>PRKWG2303M</v>
      </c>
      <c r="I96" s="2" t="str">
        <f t="shared" si="110"/>
        <v>(99)MIX99</v>
      </c>
      <c r="J96" s="2" t="str">
        <f>"170"</f>
        <v>170</v>
      </c>
      <c r="K96" s="2" t="str">
        <f>"PRKWG2303M99170"</f>
        <v>PRKWG2303M99170</v>
      </c>
      <c r="L96" s="2" t="str">
        <f t="shared" si="115"/>
        <v>899</v>
      </c>
      <c r="M96" s="1">
        <v>2</v>
      </c>
      <c r="N96" s="1">
        <v>1798</v>
      </c>
      <c r="O96" s="1">
        <v>2</v>
      </c>
      <c r="P96" s="1">
        <v>1798</v>
      </c>
      <c r="Q96" s="1">
        <v>0</v>
      </c>
      <c r="R96" s="1">
        <v>0</v>
      </c>
      <c r="S96" s="1">
        <v>0</v>
      </c>
      <c r="T96" s="1">
        <v>0</v>
      </c>
      <c r="U96" s="1">
        <v>2</v>
      </c>
      <c r="V96" s="1">
        <v>1798</v>
      </c>
    </row>
    <row r="97" spans="1:22" x14ac:dyDescent="0.15">
      <c r="A97" s="2" t="str">
        <f t="shared" ref="A97:A100" si="116">"C6H0"</f>
        <v>C6H0</v>
      </c>
      <c r="B97" s="2" t="str">
        <f t="shared" ref="B97:B100" si="117">"华中支社"</f>
        <v>华中支社</v>
      </c>
      <c r="C97" s="2" t="str">
        <f t="shared" ref="C97:C100" si="118">"PR 武汉广场(C6H0)"</f>
        <v>PR 武汉广场(C6H0)</v>
      </c>
      <c r="D97" s="2" t="str">
        <f t="shared" si="111"/>
        <v>2026</v>
      </c>
      <c r="E97" s="2" t="str">
        <f t="shared" si="112"/>
        <v>夏</v>
      </c>
      <c r="F97" s="2" t="str">
        <f t="shared" si="113"/>
        <v>一般毛衣(SWEATER)(KW)</v>
      </c>
      <c r="H97" s="2" t="str">
        <f t="shared" si="114"/>
        <v>PRKWG2303M</v>
      </c>
      <c r="I97" s="2" t="str">
        <f t="shared" ref="I97:I108" si="119">"(99)MIX99"</f>
        <v>(99)MIX99</v>
      </c>
      <c r="J97" s="2" t="str">
        <f>"155"</f>
        <v>155</v>
      </c>
      <c r="K97" s="2" t="str">
        <f>"PRKWG2303M99155"</f>
        <v>PRKWG2303M99155</v>
      </c>
      <c r="L97" s="2" t="str">
        <f t="shared" si="115"/>
        <v>899</v>
      </c>
      <c r="M97" s="1">
        <v>1</v>
      </c>
      <c r="N97" s="1">
        <v>899</v>
      </c>
      <c r="O97" s="1">
        <v>1</v>
      </c>
      <c r="P97" s="1">
        <v>899</v>
      </c>
      <c r="Q97" s="1">
        <v>0</v>
      </c>
      <c r="R97" s="1">
        <v>0</v>
      </c>
      <c r="S97" s="1">
        <v>0</v>
      </c>
      <c r="T97" s="1">
        <v>0</v>
      </c>
      <c r="U97" s="1">
        <v>1</v>
      </c>
      <c r="V97" s="1">
        <v>899</v>
      </c>
    </row>
    <row r="98" spans="1:22" x14ac:dyDescent="0.15">
      <c r="A98" s="2" t="str">
        <f t="shared" si="116"/>
        <v>C6H0</v>
      </c>
      <c r="B98" s="2" t="str">
        <f t="shared" si="117"/>
        <v>华中支社</v>
      </c>
      <c r="C98" s="2" t="str">
        <f t="shared" si="118"/>
        <v>PR 武汉广场(C6H0)</v>
      </c>
      <c r="D98" s="2" t="str">
        <f t="shared" si="111"/>
        <v>2026</v>
      </c>
      <c r="E98" s="2" t="str">
        <f t="shared" si="112"/>
        <v>夏</v>
      </c>
      <c r="F98" s="2" t="str">
        <f t="shared" si="113"/>
        <v>一般毛衣(SWEATER)(KW)</v>
      </c>
      <c r="H98" s="2" t="str">
        <f t="shared" si="114"/>
        <v>PRKWG2303M</v>
      </c>
      <c r="I98" s="2" t="str">
        <f t="shared" si="119"/>
        <v>(99)MIX99</v>
      </c>
      <c r="J98" s="2" t="str">
        <f t="shared" ref="J98:J103" si="120">"160"</f>
        <v>160</v>
      </c>
      <c r="K98" s="2" t="str">
        <f t="shared" ref="K98:K103" si="121">"PRKWG2303M99160"</f>
        <v>PRKWG2303M99160</v>
      </c>
      <c r="L98" s="2" t="str">
        <f t="shared" si="115"/>
        <v>899</v>
      </c>
      <c r="M98" s="1">
        <v>3</v>
      </c>
      <c r="N98" s="1">
        <v>2697</v>
      </c>
      <c r="O98" s="1">
        <v>3</v>
      </c>
      <c r="P98" s="1">
        <v>2697</v>
      </c>
      <c r="Q98" s="1">
        <v>0</v>
      </c>
      <c r="R98" s="1">
        <v>0</v>
      </c>
      <c r="S98" s="1">
        <v>0</v>
      </c>
      <c r="T98" s="1">
        <v>0</v>
      </c>
      <c r="U98" s="1">
        <v>3</v>
      </c>
      <c r="V98" s="1">
        <v>2697</v>
      </c>
    </row>
    <row r="99" spans="1:22" x14ac:dyDescent="0.15">
      <c r="A99" s="2" t="str">
        <f t="shared" si="116"/>
        <v>C6H0</v>
      </c>
      <c r="B99" s="2" t="str">
        <f t="shared" si="117"/>
        <v>华中支社</v>
      </c>
      <c r="C99" s="2" t="str">
        <f t="shared" si="118"/>
        <v>PR 武汉广场(C6H0)</v>
      </c>
      <c r="D99" s="2" t="str">
        <f t="shared" si="111"/>
        <v>2026</v>
      </c>
      <c r="E99" s="2" t="str">
        <f t="shared" si="112"/>
        <v>夏</v>
      </c>
      <c r="F99" s="2" t="str">
        <f t="shared" si="113"/>
        <v>一般毛衣(SWEATER)(KW)</v>
      </c>
      <c r="H99" s="2" t="str">
        <f t="shared" si="114"/>
        <v>PRKWG2303M</v>
      </c>
      <c r="I99" s="2" t="str">
        <f t="shared" si="119"/>
        <v>(99)MIX99</v>
      </c>
      <c r="J99" s="2" t="str">
        <f t="shared" ref="J99:J104" si="122">"165"</f>
        <v>165</v>
      </c>
      <c r="K99" s="2" t="str">
        <f t="shared" ref="K99:K104" si="123">"PRKWG2303M99165"</f>
        <v>PRKWG2303M99165</v>
      </c>
      <c r="L99" s="2" t="str">
        <f t="shared" si="115"/>
        <v>899</v>
      </c>
      <c r="M99" s="1">
        <v>3</v>
      </c>
      <c r="N99" s="1">
        <v>2697</v>
      </c>
      <c r="O99" s="1">
        <v>3</v>
      </c>
      <c r="P99" s="1">
        <v>2697</v>
      </c>
      <c r="Q99" s="1">
        <v>0</v>
      </c>
      <c r="R99" s="1">
        <v>0</v>
      </c>
      <c r="S99" s="1">
        <v>0</v>
      </c>
      <c r="T99" s="1">
        <v>0</v>
      </c>
      <c r="U99" s="1">
        <v>3</v>
      </c>
      <c r="V99" s="1">
        <v>2697</v>
      </c>
    </row>
    <row r="100" spans="1:22" x14ac:dyDescent="0.15">
      <c r="A100" s="2" t="str">
        <f t="shared" si="116"/>
        <v>C6H0</v>
      </c>
      <c r="B100" s="2" t="str">
        <f t="shared" si="117"/>
        <v>华中支社</v>
      </c>
      <c r="C100" s="2" t="str">
        <f t="shared" si="118"/>
        <v>PR 武汉广场(C6H0)</v>
      </c>
      <c r="D100" s="2" t="str">
        <f t="shared" si="111"/>
        <v>2026</v>
      </c>
      <c r="E100" s="2" t="str">
        <f t="shared" si="112"/>
        <v>夏</v>
      </c>
      <c r="F100" s="2" t="str">
        <f t="shared" si="113"/>
        <v>一般毛衣(SWEATER)(KW)</v>
      </c>
      <c r="H100" s="2" t="str">
        <f t="shared" si="114"/>
        <v>PRKWG2303M</v>
      </c>
      <c r="I100" s="2" t="str">
        <f t="shared" si="119"/>
        <v>(99)MIX99</v>
      </c>
      <c r="J100" s="2" t="str">
        <f>"170"</f>
        <v>170</v>
      </c>
      <c r="K100" s="2" t="str">
        <f>"PRKWG2303M99170"</f>
        <v>PRKWG2303M99170</v>
      </c>
      <c r="L100" s="2" t="str">
        <f t="shared" si="115"/>
        <v>899</v>
      </c>
      <c r="M100" s="1">
        <v>2</v>
      </c>
      <c r="N100" s="1">
        <v>1798</v>
      </c>
      <c r="O100" s="1">
        <v>2</v>
      </c>
      <c r="P100" s="1">
        <v>1798</v>
      </c>
      <c r="Q100" s="1">
        <v>0</v>
      </c>
      <c r="R100" s="1">
        <v>0</v>
      </c>
      <c r="S100" s="1">
        <v>0</v>
      </c>
      <c r="T100" s="1">
        <v>0</v>
      </c>
      <c r="U100" s="1">
        <v>2</v>
      </c>
      <c r="V100" s="1">
        <v>1798</v>
      </c>
    </row>
    <row r="101" spans="1:22" x14ac:dyDescent="0.15">
      <c r="A101" s="2" t="str">
        <f>"C6JR"</f>
        <v>C6JR</v>
      </c>
      <c r="B101" s="2" t="str">
        <f>"川西支社"</f>
        <v>川西支社</v>
      </c>
      <c r="C101" s="2" t="str">
        <f>"PR 成都建设伊藤(C6JR)"</f>
        <v>PR 成都建设伊藤(C6JR)</v>
      </c>
      <c r="D101" s="2" t="str">
        <f t="shared" si="111"/>
        <v>2026</v>
      </c>
      <c r="E101" s="2" t="str">
        <f t="shared" si="112"/>
        <v>夏</v>
      </c>
      <c r="F101" s="2" t="str">
        <f t="shared" si="113"/>
        <v>一般毛衣(SWEATER)(KW)</v>
      </c>
      <c r="H101" s="2" t="str">
        <f t="shared" si="114"/>
        <v>PRKWG2303M</v>
      </c>
      <c r="I101" s="2" t="str">
        <f t="shared" si="119"/>
        <v>(99)MIX99</v>
      </c>
      <c r="J101" s="2" t="str">
        <f t="shared" si="120"/>
        <v>160</v>
      </c>
      <c r="K101" s="2" t="str">
        <f t="shared" si="121"/>
        <v>PRKWG2303M99160</v>
      </c>
      <c r="L101" s="2" t="str">
        <f t="shared" si="115"/>
        <v>899</v>
      </c>
      <c r="M101" s="1">
        <v>1</v>
      </c>
      <c r="N101" s="1">
        <v>899</v>
      </c>
      <c r="O101" s="1">
        <v>1</v>
      </c>
      <c r="P101" s="1">
        <v>899</v>
      </c>
      <c r="Q101" s="1">
        <v>0</v>
      </c>
      <c r="R101" s="1">
        <v>0</v>
      </c>
      <c r="S101" s="1">
        <v>0</v>
      </c>
      <c r="T101" s="1">
        <v>0</v>
      </c>
      <c r="U101" s="1">
        <v>1</v>
      </c>
      <c r="V101" s="1">
        <v>899</v>
      </c>
    </row>
    <row r="102" spans="1:22" x14ac:dyDescent="0.15">
      <c r="A102" s="2" t="str">
        <f>"C6JR"</f>
        <v>C6JR</v>
      </c>
      <c r="B102" s="2" t="str">
        <f>"川西支社"</f>
        <v>川西支社</v>
      </c>
      <c r="C102" s="2" t="str">
        <f>"PR 成都建设伊藤(C6JR)"</f>
        <v>PR 成都建设伊藤(C6JR)</v>
      </c>
      <c r="D102" s="2" t="str">
        <f t="shared" si="111"/>
        <v>2026</v>
      </c>
      <c r="E102" s="2" t="str">
        <f t="shared" si="112"/>
        <v>夏</v>
      </c>
      <c r="F102" s="2" t="str">
        <f t="shared" si="113"/>
        <v>一般毛衣(SWEATER)(KW)</v>
      </c>
      <c r="H102" s="2" t="str">
        <f t="shared" si="114"/>
        <v>PRKWG2303M</v>
      </c>
      <c r="I102" s="2" t="str">
        <f t="shared" si="119"/>
        <v>(99)MIX99</v>
      </c>
      <c r="J102" s="2" t="str">
        <f t="shared" si="122"/>
        <v>165</v>
      </c>
      <c r="K102" s="2" t="str">
        <f t="shared" si="123"/>
        <v>PRKWG2303M99165</v>
      </c>
      <c r="L102" s="2" t="str">
        <f t="shared" si="115"/>
        <v>899</v>
      </c>
      <c r="M102" s="1">
        <v>1</v>
      </c>
      <c r="N102" s="1">
        <v>899</v>
      </c>
      <c r="O102" s="1">
        <v>1</v>
      </c>
      <c r="P102" s="1">
        <v>899</v>
      </c>
      <c r="Q102" s="1">
        <v>0</v>
      </c>
      <c r="R102" s="1">
        <v>0</v>
      </c>
      <c r="S102" s="1">
        <v>0</v>
      </c>
      <c r="T102" s="1">
        <v>0</v>
      </c>
      <c r="U102" s="1">
        <v>1</v>
      </c>
      <c r="V102" s="1">
        <v>899</v>
      </c>
    </row>
    <row r="103" spans="1:22" x14ac:dyDescent="0.15">
      <c r="A103" s="2" t="str">
        <f>"C6N0"</f>
        <v>C6N0</v>
      </c>
      <c r="B103" s="2" t="str">
        <f>"川南支社"</f>
        <v>川南支社</v>
      </c>
      <c r="C103" s="2" t="str">
        <f>"PR 南充商都(C6N0)"</f>
        <v>PR 南充商都(C6N0)</v>
      </c>
      <c r="D103" s="2" t="str">
        <f t="shared" si="111"/>
        <v>2026</v>
      </c>
      <c r="E103" s="2" t="str">
        <f t="shared" si="112"/>
        <v>夏</v>
      </c>
      <c r="F103" s="2" t="str">
        <f t="shared" si="113"/>
        <v>一般毛衣(SWEATER)(KW)</v>
      </c>
      <c r="H103" s="2" t="str">
        <f t="shared" si="114"/>
        <v>PRKWG2303M</v>
      </c>
      <c r="I103" s="2" t="str">
        <f t="shared" si="119"/>
        <v>(99)MIX99</v>
      </c>
      <c r="J103" s="2" t="str">
        <f t="shared" si="120"/>
        <v>160</v>
      </c>
      <c r="K103" s="2" t="str">
        <f t="shared" si="121"/>
        <v>PRKWG2303M99160</v>
      </c>
      <c r="L103" s="2" t="str">
        <f t="shared" si="115"/>
        <v>899</v>
      </c>
      <c r="M103" s="1">
        <v>1</v>
      </c>
      <c r="N103" s="1">
        <v>899</v>
      </c>
      <c r="O103" s="1">
        <v>1</v>
      </c>
      <c r="P103" s="1">
        <v>899</v>
      </c>
      <c r="Q103" s="1">
        <v>0</v>
      </c>
      <c r="R103" s="1">
        <v>0</v>
      </c>
      <c r="S103" s="1">
        <v>0</v>
      </c>
      <c r="T103" s="1">
        <v>0</v>
      </c>
      <c r="U103" s="1">
        <v>1</v>
      </c>
      <c r="V103" s="1">
        <v>899</v>
      </c>
    </row>
    <row r="104" spans="1:22" x14ac:dyDescent="0.15">
      <c r="A104" s="2" t="str">
        <f>"C6N0"</f>
        <v>C6N0</v>
      </c>
      <c r="B104" s="2" t="str">
        <f>"川南支社"</f>
        <v>川南支社</v>
      </c>
      <c r="C104" s="2" t="str">
        <f>"PR 南充商都(C6N0)"</f>
        <v>PR 南充商都(C6N0)</v>
      </c>
      <c r="D104" s="2" t="str">
        <f t="shared" si="111"/>
        <v>2026</v>
      </c>
      <c r="E104" s="2" t="str">
        <f t="shared" si="112"/>
        <v>夏</v>
      </c>
      <c r="F104" s="2" t="str">
        <f t="shared" si="113"/>
        <v>一般毛衣(SWEATER)(KW)</v>
      </c>
      <c r="H104" s="2" t="str">
        <f t="shared" si="114"/>
        <v>PRKWG2303M</v>
      </c>
      <c r="I104" s="2" t="str">
        <f t="shared" si="119"/>
        <v>(99)MIX99</v>
      </c>
      <c r="J104" s="2" t="str">
        <f t="shared" si="122"/>
        <v>165</v>
      </c>
      <c r="K104" s="2" t="str">
        <f t="shared" si="123"/>
        <v>PRKWG2303M99165</v>
      </c>
      <c r="L104" s="2" t="str">
        <f t="shared" si="115"/>
        <v>899</v>
      </c>
      <c r="M104" s="1">
        <v>1</v>
      </c>
      <c r="N104" s="1">
        <v>899</v>
      </c>
      <c r="O104" s="1">
        <v>1</v>
      </c>
      <c r="P104" s="1">
        <v>899</v>
      </c>
      <c r="Q104" s="1">
        <v>0</v>
      </c>
      <c r="R104" s="1">
        <v>0</v>
      </c>
      <c r="S104" s="1">
        <v>0</v>
      </c>
      <c r="T104" s="1">
        <v>0</v>
      </c>
      <c r="U104" s="1">
        <v>1</v>
      </c>
      <c r="V104" s="1">
        <v>899</v>
      </c>
    </row>
    <row r="105" spans="1:22" x14ac:dyDescent="0.15">
      <c r="A105" s="2" t="str">
        <f t="shared" ref="A105:A108" si="124">"C6O7"</f>
        <v>C6O7</v>
      </c>
      <c r="B105" s="2" t="str">
        <f t="shared" ref="B105:B108" si="125">"华南支社"</f>
        <v>华南支社</v>
      </c>
      <c r="C105" s="2" t="str">
        <f t="shared" ref="C105:C108" si="126">"PR 南宁柏联百盛(C6O7)"</f>
        <v>PR 南宁柏联百盛(C6O7)</v>
      </c>
      <c r="D105" s="2" t="str">
        <f t="shared" si="111"/>
        <v>2026</v>
      </c>
      <c r="E105" s="2" t="str">
        <f t="shared" si="112"/>
        <v>夏</v>
      </c>
      <c r="F105" s="2" t="str">
        <f t="shared" si="113"/>
        <v>一般毛衣(SWEATER)(KW)</v>
      </c>
      <c r="H105" s="2" t="str">
        <f t="shared" si="114"/>
        <v>PRKWG2303M</v>
      </c>
      <c r="I105" s="2" t="str">
        <f t="shared" si="119"/>
        <v>(99)MIX99</v>
      </c>
      <c r="J105" s="2" t="str">
        <f>"155"</f>
        <v>155</v>
      </c>
      <c r="K105" s="2" t="str">
        <f>"PRKWG2303M99155"</f>
        <v>PRKWG2303M99155</v>
      </c>
      <c r="L105" s="2" t="str">
        <f t="shared" si="115"/>
        <v>899</v>
      </c>
      <c r="M105" s="1">
        <v>1</v>
      </c>
      <c r="N105" s="1">
        <v>899</v>
      </c>
      <c r="O105" s="1">
        <v>1</v>
      </c>
      <c r="P105" s="1">
        <v>899</v>
      </c>
      <c r="Q105" s="1">
        <v>0</v>
      </c>
      <c r="R105" s="1">
        <v>0</v>
      </c>
      <c r="S105" s="1">
        <v>2</v>
      </c>
      <c r="T105" s="1">
        <v>1798</v>
      </c>
      <c r="U105" s="1">
        <v>3</v>
      </c>
      <c r="V105" s="1">
        <v>2697</v>
      </c>
    </row>
    <row r="106" spans="1:22" x14ac:dyDescent="0.15">
      <c r="A106" s="2" t="str">
        <f t="shared" si="124"/>
        <v>C6O7</v>
      </c>
      <c r="B106" s="2" t="str">
        <f t="shared" si="125"/>
        <v>华南支社</v>
      </c>
      <c r="C106" s="2" t="str">
        <f t="shared" si="126"/>
        <v>PR 南宁柏联百盛(C6O7)</v>
      </c>
      <c r="D106" s="2" t="str">
        <f t="shared" si="111"/>
        <v>2026</v>
      </c>
      <c r="E106" s="2" t="str">
        <f t="shared" si="112"/>
        <v>夏</v>
      </c>
      <c r="F106" s="2" t="str">
        <f t="shared" si="113"/>
        <v>一般毛衣(SWEATER)(KW)</v>
      </c>
      <c r="H106" s="2" t="str">
        <f t="shared" si="114"/>
        <v>PRKWG2303M</v>
      </c>
      <c r="I106" s="2" t="str">
        <f t="shared" si="119"/>
        <v>(99)MIX99</v>
      </c>
      <c r="J106" s="2" t="str">
        <f>"160"</f>
        <v>160</v>
      </c>
      <c r="K106" s="2" t="str">
        <f>"PRKWG2303M99160"</f>
        <v>PRKWG2303M99160</v>
      </c>
      <c r="L106" s="2" t="str">
        <f t="shared" si="115"/>
        <v>899</v>
      </c>
      <c r="M106" s="1">
        <v>5</v>
      </c>
      <c r="N106" s="1">
        <v>4495</v>
      </c>
      <c r="O106" s="1">
        <v>5</v>
      </c>
      <c r="P106" s="1">
        <v>4495</v>
      </c>
      <c r="Q106" s="1">
        <v>0</v>
      </c>
      <c r="R106" s="1">
        <v>0</v>
      </c>
      <c r="S106" s="1">
        <v>1</v>
      </c>
      <c r="T106" s="1">
        <v>899</v>
      </c>
      <c r="U106" s="1">
        <v>6</v>
      </c>
      <c r="V106" s="1">
        <v>5394</v>
      </c>
    </row>
    <row r="107" spans="1:22" x14ac:dyDescent="0.15">
      <c r="A107" s="2" t="str">
        <f t="shared" si="124"/>
        <v>C6O7</v>
      </c>
      <c r="B107" s="2" t="str">
        <f t="shared" si="125"/>
        <v>华南支社</v>
      </c>
      <c r="C107" s="2" t="str">
        <f t="shared" si="126"/>
        <v>PR 南宁柏联百盛(C6O7)</v>
      </c>
      <c r="D107" s="2" t="str">
        <f t="shared" si="111"/>
        <v>2026</v>
      </c>
      <c r="E107" s="2" t="str">
        <f t="shared" si="112"/>
        <v>夏</v>
      </c>
      <c r="F107" s="2" t="str">
        <f t="shared" si="113"/>
        <v>一般毛衣(SWEATER)(KW)</v>
      </c>
      <c r="H107" s="2" t="str">
        <f t="shared" si="114"/>
        <v>PRKWG2303M</v>
      </c>
      <c r="I107" s="2" t="str">
        <f t="shared" si="119"/>
        <v>(99)MIX99</v>
      </c>
      <c r="J107" s="2" t="str">
        <f>"165"</f>
        <v>165</v>
      </c>
      <c r="K107" s="2" t="str">
        <f>"PRKWG2303M99165"</f>
        <v>PRKWG2303M99165</v>
      </c>
      <c r="L107" s="2" t="str">
        <f t="shared" si="115"/>
        <v>899</v>
      </c>
      <c r="M107" s="1">
        <v>2</v>
      </c>
      <c r="N107" s="1">
        <v>1798</v>
      </c>
      <c r="O107" s="1">
        <v>2</v>
      </c>
      <c r="P107" s="1">
        <v>1798</v>
      </c>
      <c r="Q107" s="1">
        <v>0</v>
      </c>
      <c r="R107" s="1">
        <v>0</v>
      </c>
      <c r="S107" s="1">
        <v>0</v>
      </c>
      <c r="T107" s="1">
        <v>0</v>
      </c>
      <c r="U107" s="1">
        <v>2</v>
      </c>
      <c r="V107" s="1">
        <v>1798</v>
      </c>
    </row>
    <row r="108" spans="1:22" x14ac:dyDescent="0.15">
      <c r="A108" s="2" t="str">
        <f t="shared" si="124"/>
        <v>C6O7</v>
      </c>
      <c r="B108" s="2" t="str">
        <f t="shared" si="125"/>
        <v>华南支社</v>
      </c>
      <c r="C108" s="2" t="str">
        <f t="shared" si="126"/>
        <v>PR 南宁柏联百盛(C6O7)</v>
      </c>
      <c r="D108" s="2" t="str">
        <f t="shared" si="111"/>
        <v>2026</v>
      </c>
      <c r="E108" s="2" t="str">
        <f t="shared" si="112"/>
        <v>夏</v>
      </c>
      <c r="F108" s="2" t="str">
        <f t="shared" si="113"/>
        <v>一般毛衣(SWEATER)(KW)</v>
      </c>
      <c r="H108" s="2" t="str">
        <f t="shared" si="114"/>
        <v>PRKWG2303M</v>
      </c>
      <c r="I108" s="2" t="str">
        <f t="shared" si="119"/>
        <v>(99)MIX99</v>
      </c>
      <c r="J108" s="2" t="str">
        <f>"170"</f>
        <v>170</v>
      </c>
      <c r="K108" s="2" t="str">
        <f>"PRKWG2303M99170"</f>
        <v>PRKWG2303M99170</v>
      </c>
      <c r="L108" s="2" t="str">
        <f t="shared" si="115"/>
        <v>899</v>
      </c>
      <c r="M108" s="1">
        <v>1</v>
      </c>
      <c r="N108" s="1">
        <v>899</v>
      </c>
      <c r="O108" s="1">
        <v>1</v>
      </c>
      <c r="P108" s="1">
        <v>899</v>
      </c>
      <c r="Q108" s="1">
        <v>0</v>
      </c>
      <c r="R108" s="1">
        <v>0</v>
      </c>
      <c r="S108" s="1">
        <v>0</v>
      </c>
      <c r="T108" s="1">
        <v>0</v>
      </c>
      <c r="U108" s="1">
        <v>1</v>
      </c>
      <c r="V108" s="1">
        <v>899</v>
      </c>
    </row>
    <row r="109" spans="1:22" x14ac:dyDescent="0.15">
      <c r="A109" s="2" t="str">
        <f t="shared" ref="A109:A112" si="127">"C6PB"</f>
        <v>C6PB</v>
      </c>
      <c r="B109" s="2" t="str">
        <f t="shared" ref="B109:B112" si="128">"华北支社"</f>
        <v>华北支社</v>
      </c>
      <c r="C109" s="2" t="str">
        <f t="shared" ref="C109:C112" si="129">"PR 太原铜锣湾(C6PB)"</f>
        <v>PR 太原铜锣湾(C6PB)</v>
      </c>
      <c r="D109" s="2" t="str">
        <f t="shared" si="111"/>
        <v>2026</v>
      </c>
      <c r="E109" s="2" t="str">
        <f t="shared" si="112"/>
        <v>夏</v>
      </c>
      <c r="F109" s="2" t="str">
        <f t="shared" si="113"/>
        <v>一般毛衣(SWEATER)(KW)</v>
      </c>
      <c r="H109" s="2" t="str">
        <f t="shared" si="114"/>
        <v>PRKWG2303M</v>
      </c>
      <c r="I109" s="2" t="str">
        <f t="shared" ref="I109:I112" si="130">"(99)MIX99"</f>
        <v>(99)MIX99</v>
      </c>
      <c r="J109" s="2" t="str">
        <f>"155"</f>
        <v>155</v>
      </c>
      <c r="K109" s="2" t="str">
        <f>"PRKWG2303M99155"</f>
        <v>PRKWG2303M99155</v>
      </c>
      <c r="L109" s="2" t="str">
        <f t="shared" si="115"/>
        <v>899</v>
      </c>
      <c r="M109" s="1">
        <v>2</v>
      </c>
      <c r="N109" s="1">
        <v>1798</v>
      </c>
      <c r="O109" s="1">
        <v>2</v>
      </c>
      <c r="P109" s="1">
        <v>1798</v>
      </c>
      <c r="Q109" s="1">
        <v>0</v>
      </c>
      <c r="R109" s="1">
        <v>0</v>
      </c>
      <c r="S109" s="1">
        <v>0</v>
      </c>
      <c r="T109" s="1">
        <v>0</v>
      </c>
      <c r="U109" s="1">
        <v>2</v>
      </c>
      <c r="V109" s="1">
        <v>1798</v>
      </c>
    </row>
    <row r="110" spans="1:22" x14ac:dyDescent="0.15">
      <c r="A110" s="2" t="str">
        <f t="shared" si="127"/>
        <v>C6PB</v>
      </c>
      <c r="B110" s="2" t="str">
        <f t="shared" si="128"/>
        <v>华北支社</v>
      </c>
      <c r="C110" s="2" t="str">
        <f t="shared" si="129"/>
        <v>PR 太原铜锣湾(C6PB)</v>
      </c>
      <c r="D110" s="2" t="str">
        <f t="shared" si="111"/>
        <v>2026</v>
      </c>
      <c r="E110" s="2" t="str">
        <f t="shared" si="112"/>
        <v>夏</v>
      </c>
      <c r="F110" s="2" t="str">
        <f t="shared" si="113"/>
        <v>一般毛衣(SWEATER)(KW)</v>
      </c>
      <c r="H110" s="2" t="str">
        <f t="shared" si="114"/>
        <v>PRKWG2303M</v>
      </c>
      <c r="I110" s="2" t="str">
        <f t="shared" si="130"/>
        <v>(99)MIX99</v>
      </c>
      <c r="J110" s="2" t="str">
        <f t="shared" ref="J110:J113" si="131">"160"</f>
        <v>160</v>
      </c>
      <c r="K110" s="2" t="str">
        <f>"PRKWG2303M99160"</f>
        <v>PRKWG2303M99160</v>
      </c>
      <c r="L110" s="2" t="str">
        <f t="shared" si="115"/>
        <v>899</v>
      </c>
      <c r="M110" s="1">
        <v>2</v>
      </c>
      <c r="N110" s="1">
        <v>1798</v>
      </c>
      <c r="O110" s="1">
        <v>2</v>
      </c>
      <c r="P110" s="1">
        <v>1798</v>
      </c>
      <c r="Q110" s="1">
        <v>0</v>
      </c>
      <c r="R110" s="1">
        <v>0</v>
      </c>
      <c r="S110" s="1">
        <v>0</v>
      </c>
      <c r="T110" s="1">
        <v>0</v>
      </c>
      <c r="U110" s="1">
        <v>2</v>
      </c>
      <c r="V110" s="1">
        <v>1798</v>
      </c>
    </row>
    <row r="111" spans="1:22" x14ac:dyDescent="0.15">
      <c r="A111" s="2" t="str">
        <f t="shared" si="127"/>
        <v>C6PB</v>
      </c>
      <c r="B111" s="2" t="str">
        <f t="shared" si="128"/>
        <v>华北支社</v>
      </c>
      <c r="C111" s="2" t="str">
        <f t="shared" si="129"/>
        <v>PR 太原铜锣湾(C6PB)</v>
      </c>
      <c r="D111" s="2" t="str">
        <f t="shared" si="111"/>
        <v>2026</v>
      </c>
      <c r="E111" s="2" t="str">
        <f t="shared" si="112"/>
        <v>夏</v>
      </c>
      <c r="F111" s="2" t="str">
        <f t="shared" si="113"/>
        <v>一般毛衣(SWEATER)(KW)</v>
      </c>
      <c r="H111" s="2" t="str">
        <f t="shared" si="114"/>
        <v>PRKWG2303M</v>
      </c>
      <c r="I111" s="2" t="str">
        <f t="shared" si="130"/>
        <v>(99)MIX99</v>
      </c>
      <c r="J111" s="2" t="str">
        <f t="shared" ref="J111:J114" si="132">"165"</f>
        <v>165</v>
      </c>
      <c r="K111" s="2" t="str">
        <f>"PRKWG2303M99165"</f>
        <v>PRKWG2303M99165</v>
      </c>
      <c r="L111" s="2" t="str">
        <f t="shared" si="115"/>
        <v>899</v>
      </c>
      <c r="M111" s="1">
        <v>2</v>
      </c>
      <c r="N111" s="1">
        <v>1798</v>
      </c>
      <c r="O111" s="1">
        <v>2</v>
      </c>
      <c r="P111" s="1">
        <v>1798</v>
      </c>
      <c r="Q111" s="1">
        <v>0</v>
      </c>
      <c r="R111" s="1">
        <v>0</v>
      </c>
      <c r="S111" s="1">
        <v>0</v>
      </c>
      <c r="T111" s="1">
        <v>0</v>
      </c>
      <c r="U111" s="1">
        <v>2</v>
      </c>
      <c r="V111" s="1">
        <v>1798</v>
      </c>
    </row>
    <row r="112" spans="1:22" x14ac:dyDescent="0.15">
      <c r="A112" s="2" t="str">
        <f t="shared" si="127"/>
        <v>C6PB</v>
      </c>
      <c r="B112" s="2" t="str">
        <f t="shared" si="128"/>
        <v>华北支社</v>
      </c>
      <c r="C112" s="2" t="str">
        <f t="shared" si="129"/>
        <v>PR 太原铜锣湾(C6PB)</v>
      </c>
      <c r="D112" s="2" t="str">
        <f t="shared" si="111"/>
        <v>2026</v>
      </c>
      <c r="E112" s="2" t="str">
        <f t="shared" si="112"/>
        <v>夏</v>
      </c>
      <c r="F112" s="2" t="str">
        <f t="shared" si="113"/>
        <v>一般毛衣(SWEATER)(KW)</v>
      </c>
      <c r="H112" s="2" t="str">
        <f t="shared" si="114"/>
        <v>PRKWG2303M</v>
      </c>
      <c r="I112" s="2" t="str">
        <f t="shared" si="130"/>
        <v>(99)MIX99</v>
      </c>
      <c r="J112" s="2" t="str">
        <f>"170"</f>
        <v>170</v>
      </c>
      <c r="K112" s="2" t="str">
        <f>"PRKWG2303M99170"</f>
        <v>PRKWG2303M99170</v>
      </c>
      <c r="L112" s="2" t="str">
        <f t="shared" si="115"/>
        <v>899</v>
      </c>
      <c r="M112" s="1">
        <v>1</v>
      </c>
      <c r="N112" s="1">
        <v>899</v>
      </c>
      <c r="O112" s="1">
        <v>1</v>
      </c>
      <c r="P112" s="1">
        <v>899</v>
      </c>
      <c r="Q112" s="1">
        <v>0</v>
      </c>
      <c r="R112" s="1">
        <v>0</v>
      </c>
      <c r="S112" s="1">
        <v>0</v>
      </c>
      <c r="T112" s="1">
        <v>0</v>
      </c>
      <c r="U112" s="1">
        <v>1</v>
      </c>
      <c r="V112" s="1">
        <v>899</v>
      </c>
    </row>
    <row r="113" spans="1:22" x14ac:dyDescent="0.15">
      <c r="A113" s="2" t="str">
        <f t="shared" ref="A113:A115" si="133">"C6TL"</f>
        <v>C6TL</v>
      </c>
      <c r="B113" s="2" t="str">
        <f t="shared" ref="B113:B115" si="134">"华东支社"</f>
        <v>华东支社</v>
      </c>
      <c r="C113" s="2" t="str">
        <f t="shared" ref="C113:C115" si="135">"PR 青岛利群(C6TL)"</f>
        <v>PR 青岛利群(C6TL)</v>
      </c>
      <c r="D113" s="2" t="str">
        <f t="shared" si="111"/>
        <v>2026</v>
      </c>
      <c r="E113" s="2" t="str">
        <f t="shared" si="112"/>
        <v>夏</v>
      </c>
      <c r="F113" s="2" t="str">
        <f t="shared" si="113"/>
        <v>一般毛衣(SWEATER)(KW)</v>
      </c>
      <c r="H113" s="2" t="str">
        <f t="shared" si="114"/>
        <v>PRKWG2303M</v>
      </c>
      <c r="I113" s="2" t="str">
        <f t="shared" ref="I113:I124" si="136">"(99)MIX99"</f>
        <v>(99)MIX99</v>
      </c>
      <c r="J113" s="2" t="str">
        <f t="shared" si="131"/>
        <v>160</v>
      </c>
      <c r="K113" s="2" t="str">
        <f t="shared" ref="K113:K117" si="137">"PRKWG2303M99160"</f>
        <v>PRKWG2303M99160</v>
      </c>
      <c r="L113" s="2" t="str">
        <f t="shared" si="115"/>
        <v>899</v>
      </c>
      <c r="M113" s="1">
        <v>2</v>
      </c>
      <c r="N113" s="1">
        <v>1798</v>
      </c>
      <c r="O113" s="1">
        <v>2</v>
      </c>
      <c r="P113" s="1">
        <v>1798</v>
      </c>
      <c r="Q113" s="1">
        <v>0</v>
      </c>
      <c r="R113" s="1">
        <v>0</v>
      </c>
      <c r="S113" s="1">
        <v>0</v>
      </c>
      <c r="T113" s="1">
        <v>0</v>
      </c>
      <c r="U113" s="1">
        <v>2</v>
      </c>
      <c r="V113" s="1">
        <v>1798</v>
      </c>
    </row>
    <row r="114" spans="1:22" x14ac:dyDescent="0.15">
      <c r="A114" s="2" t="str">
        <f t="shared" si="133"/>
        <v>C6TL</v>
      </c>
      <c r="B114" s="2" t="str">
        <f t="shared" si="134"/>
        <v>华东支社</v>
      </c>
      <c r="C114" s="2" t="str">
        <f t="shared" si="135"/>
        <v>PR 青岛利群(C6TL)</v>
      </c>
      <c r="D114" s="2" t="str">
        <f t="shared" si="111"/>
        <v>2026</v>
      </c>
      <c r="E114" s="2" t="str">
        <f t="shared" si="112"/>
        <v>夏</v>
      </c>
      <c r="F114" s="2" t="str">
        <f t="shared" si="113"/>
        <v>一般毛衣(SWEATER)(KW)</v>
      </c>
      <c r="H114" s="2" t="str">
        <f t="shared" si="114"/>
        <v>PRKWG2303M</v>
      </c>
      <c r="I114" s="2" t="str">
        <f t="shared" si="136"/>
        <v>(99)MIX99</v>
      </c>
      <c r="J114" s="2" t="str">
        <f t="shared" si="132"/>
        <v>165</v>
      </c>
      <c r="K114" s="2" t="str">
        <f>"PRKWG2303M99165"</f>
        <v>PRKWG2303M99165</v>
      </c>
      <c r="L114" s="2" t="str">
        <f t="shared" si="115"/>
        <v>899</v>
      </c>
      <c r="M114" s="1">
        <v>2</v>
      </c>
      <c r="N114" s="1">
        <v>1798</v>
      </c>
      <c r="O114" s="1">
        <v>2</v>
      </c>
      <c r="P114" s="1">
        <v>1798</v>
      </c>
      <c r="Q114" s="1">
        <v>0</v>
      </c>
      <c r="R114" s="1">
        <v>0</v>
      </c>
      <c r="S114" s="1">
        <v>0</v>
      </c>
      <c r="T114" s="1">
        <v>0</v>
      </c>
      <c r="U114" s="1">
        <v>2</v>
      </c>
      <c r="V114" s="1">
        <v>1798</v>
      </c>
    </row>
    <row r="115" spans="1:22" x14ac:dyDescent="0.15">
      <c r="A115" s="2" t="str">
        <f t="shared" si="133"/>
        <v>C6TL</v>
      </c>
      <c r="B115" s="2" t="str">
        <f t="shared" si="134"/>
        <v>华东支社</v>
      </c>
      <c r="C115" s="2" t="str">
        <f t="shared" si="135"/>
        <v>PR 青岛利群(C6TL)</v>
      </c>
      <c r="D115" s="2" t="str">
        <f t="shared" si="111"/>
        <v>2026</v>
      </c>
      <c r="E115" s="2" t="str">
        <f t="shared" si="112"/>
        <v>夏</v>
      </c>
      <c r="F115" s="2" t="str">
        <f t="shared" si="113"/>
        <v>一般毛衣(SWEATER)(KW)</v>
      </c>
      <c r="H115" s="2" t="str">
        <f t="shared" si="114"/>
        <v>PRKWG2303M</v>
      </c>
      <c r="I115" s="2" t="str">
        <f t="shared" si="136"/>
        <v>(99)MIX99</v>
      </c>
      <c r="J115" s="2" t="str">
        <f>"170"</f>
        <v>170</v>
      </c>
      <c r="K115" s="2" t="str">
        <f>"PRKWG2303M99170"</f>
        <v>PRKWG2303M99170</v>
      </c>
      <c r="L115" s="2" t="str">
        <f t="shared" si="115"/>
        <v>899</v>
      </c>
      <c r="M115" s="1">
        <v>1</v>
      </c>
      <c r="N115" s="1">
        <v>899</v>
      </c>
      <c r="O115" s="1">
        <v>1</v>
      </c>
      <c r="P115" s="1">
        <v>899</v>
      </c>
      <c r="Q115" s="1">
        <v>0</v>
      </c>
      <c r="R115" s="1">
        <v>0</v>
      </c>
      <c r="S115" s="1">
        <v>0</v>
      </c>
      <c r="T115" s="1">
        <v>0</v>
      </c>
      <c r="U115" s="1">
        <v>1</v>
      </c>
      <c r="V115" s="1">
        <v>899</v>
      </c>
    </row>
    <row r="116" spans="1:22" x14ac:dyDescent="0.15">
      <c r="A116" s="2" t="str">
        <f>"C749"</f>
        <v>C749</v>
      </c>
      <c r="B116" s="2" t="str">
        <f>"重庆支社"</f>
        <v>重庆支社</v>
      </c>
      <c r="C116" s="2" t="str">
        <f>"PR 重百沙坪坝　(C749)"</f>
        <v>PR 重百沙坪坝　(C749)</v>
      </c>
      <c r="D116" s="2" t="str">
        <f t="shared" si="111"/>
        <v>2026</v>
      </c>
      <c r="E116" s="2" t="str">
        <f t="shared" si="112"/>
        <v>夏</v>
      </c>
      <c r="F116" s="2" t="str">
        <f t="shared" si="113"/>
        <v>一般毛衣(SWEATER)(KW)</v>
      </c>
      <c r="H116" s="2" t="str">
        <f t="shared" si="114"/>
        <v>PRKWG2303M</v>
      </c>
      <c r="I116" s="2" t="str">
        <f t="shared" si="136"/>
        <v>(99)MIX99</v>
      </c>
      <c r="J116" s="2" t="str">
        <f t="shared" ref="J116:J120" si="138">"160"</f>
        <v>160</v>
      </c>
      <c r="K116" s="2" t="str">
        <f t="shared" si="137"/>
        <v>PRKWG2303M99160</v>
      </c>
      <c r="L116" s="2" t="str">
        <f t="shared" si="115"/>
        <v>899</v>
      </c>
      <c r="M116" s="1">
        <v>1</v>
      </c>
      <c r="N116" s="1">
        <v>899</v>
      </c>
      <c r="O116" s="1">
        <v>1</v>
      </c>
      <c r="P116" s="1">
        <v>899</v>
      </c>
      <c r="Q116" s="1">
        <v>0</v>
      </c>
      <c r="R116" s="1">
        <v>0</v>
      </c>
      <c r="S116" s="1">
        <v>0</v>
      </c>
      <c r="T116" s="1">
        <v>0</v>
      </c>
      <c r="U116" s="1">
        <v>1</v>
      </c>
      <c r="V116" s="1">
        <v>899</v>
      </c>
    </row>
    <row r="117" spans="1:22" x14ac:dyDescent="0.15">
      <c r="A117" s="2" t="str">
        <f t="shared" ref="A117:A119" si="139">"C7BE"</f>
        <v>C7BE</v>
      </c>
      <c r="B117" s="2" t="str">
        <f t="shared" ref="B117:B119" si="140">"华东支社"</f>
        <v>华东支社</v>
      </c>
      <c r="C117" s="2" t="str">
        <f t="shared" ref="C117:C119" si="141">"PR 济南银座玉函店(C7BE)"</f>
        <v>PR 济南银座玉函店(C7BE)</v>
      </c>
      <c r="D117" s="2" t="str">
        <f t="shared" si="111"/>
        <v>2026</v>
      </c>
      <c r="E117" s="2" t="str">
        <f t="shared" si="112"/>
        <v>夏</v>
      </c>
      <c r="F117" s="2" t="str">
        <f t="shared" si="113"/>
        <v>一般毛衣(SWEATER)(KW)</v>
      </c>
      <c r="H117" s="2" t="str">
        <f t="shared" si="114"/>
        <v>PRKWG2303M</v>
      </c>
      <c r="I117" s="2" t="str">
        <f t="shared" si="136"/>
        <v>(99)MIX99</v>
      </c>
      <c r="J117" s="2" t="str">
        <f t="shared" si="138"/>
        <v>160</v>
      </c>
      <c r="K117" s="2" t="str">
        <f t="shared" si="137"/>
        <v>PRKWG2303M99160</v>
      </c>
      <c r="L117" s="2" t="str">
        <f t="shared" si="115"/>
        <v>899</v>
      </c>
      <c r="M117" s="1">
        <v>2</v>
      </c>
      <c r="N117" s="1">
        <v>1798</v>
      </c>
      <c r="O117" s="1">
        <v>2</v>
      </c>
      <c r="P117" s="1">
        <v>1798</v>
      </c>
      <c r="Q117" s="1">
        <v>0</v>
      </c>
      <c r="R117" s="1">
        <v>0</v>
      </c>
      <c r="S117" s="1">
        <v>0</v>
      </c>
      <c r="T117" s="1">
        <v>0</v>
      </c>
      <c r="U117" s="1">
        <v>2</v>
      </c>
      <c r="V117" s="1">
        <v>1798</v>
      </c>
    </row>
    <row r="118" spans="1:22" x14ac:dyDescent="0.15">
      <c r="A118" s="2" t="str">
        <f t="shared" si="139"/>
        <v>C7BE</v>
      </c>
      <c r="B118" s="2" t="str">
        <f t="shared" si="140"/>
        <v>华东支社</v>
      </c>
      <c r="C118" s="2" t="str">
        <f t="shared" si="141"/>
        <v>PR 济南银座玉函店(C7BE)</v>
      </c>
      <c r="D118" s="2" t="str">
        <f t="shared" si="111"/>
        <v>2026</v>
      </c>
      <c r="E118" s="2" t="str">
        <f t="shared" si="112"/>
        <v>夏</v>
      </c>
      <c r="F118" s="2" t="str">
        <f t="shared" si="113"/>
        <v>一般毛衣(SWEATER)(KW)</v>
      </c>
      <c r="H118" s="2" t="str">
        <f t="shared" si="114"/>
        <v>PRKWG2303M</v>
      </c>
      <c r="I118" s="2" t="str">
        <f t="shared" si="136"/>
        <v>(99)MIX99</v>
      </c>
      <c r="J118" s="2" t="str">
        <f>"165"</f>
        <v>165</v>
      </c>
      <c r="K118" s="2" t="str">
        <f>"PRKWG2303M99165"</f>
        <v>PRKWG2303M99165</v>
      </c>
      <c r="L118" s="2" t="str">
        <f t="shared" si="115"/>
        <v>899</v>
      </c>
      <c r="M118" s="1">
        <v>2</v>
      </c>
      <c r="N118" s="1">
        <v>1798</v>
      </c>
      <c r="O118" s="1">
        <v>2</v>
      </c>
      <c r="P118" s="1">
        <v>1798</v>
      </c>
      <c r="Q118" s="1">
        <v>0</v>
      </c>
      <c r="R118" s="1">
        <v>0</v>
      </c>
      <c r="S118" s="1">
        <v>0</v>
      </c>
      <c r="T118" s="1">
        <v>0</v>
      </c>
      <c r="U118" s="1">
        <v>2</v>
      </c>
      <c r="V118" s="1">
        <v>1798</v>
      </c>
    </row>
    <row r="119" spans="1:22" x14ac:dyDescent="0.15">
      <c r="A119" s="2" t="str">
        <f t="shared" si="139"/>
        <v>C7BE</v>
      </c>
      <c r="B119" s="2" t="str">
        <f t="shared" si="140"/>
        <v>华东支社</v>
      </c>
      <c r="C119" s="2" t="str">
        <f t="shared" si="141"/>
        <v>PR 济南银座玉函店(C7BE)</v>
      </c>
      <c r="D119" s="2" t="str">
        <f t="shared" si="111"/>
        <v>2026</v>
      </c>
      <c r="E119" s="2" t="str">
        <f t="shared" si="112"/>
        <v>夏</v>
      </c>
      <c r="F119" s="2" t="str">
        <f t="shared" si="113"/>
        <v>一般毛衣(SWEATER)(KW)</v>
      </c>
      <c r="H119" s="2" t="str">
        <f t="shared" si="114"/>
        <v>PRKWG2303M</v>
      </c>
      <c r="I119" s="2" t="str">
        <f t="shared" si="136"/>
        <v>(99)MIX99</v>
      </c>
      <c r="J119" s="2" t="str">
        <f>"170"</f>
        <v>170</v>
      </c>
      <c r="K119" s="2" t="str">
        <f>"PRKWG2303M99170"</f>
        <v>PRKWG2303M99170</v>
      </c>
      <c r="L119" s="2" t="str">
        <f t="shared" si="115"/>
        <v>899</v>
      </c>
      <c r="M119" s="1">
        <v>1</v>
      </c>
      <c r="N119" s="1">
        <v>899</v>
      </c>
      <c r="O119" s="1">
        <v>1</v>
      </c>
      <c r="P119" s="1">
        <v>899</v>
      </c>
      <c r="Q119" s="1">
        <v>0</v>
      </c>
      <c r="R119" s="1">
        <v>0</v>
      </c>
      <c r="S119" s="1">
        <v>0</v>
      </c>
      <c r="T119" s="1">
        <v>0</v>
      </c>
      <c r="U119" s="1">
        <v>1</v>
      </c>
      <c r="V119" s="1">
        <v>899</v>
      </c>
    </row>
    <row r="120" spans="1:22" x14ac:dyDescent="0.15">
      <c r="A120" s="2" t="str">
        <f t="shared" ref="A120:A122" si="142">"C840"</f>
        <v>C840</v>
      </c>
      <c r="B120" s="2" t="str">
        <f t="shared" ref="B120:B122" si="143">"华南支社"</f>
        <v>华南支社</v>
      </c>
      <c r="C120" s="2" t="str">
        <f t="shared" ref="C120:C122" si="144">"PR 广州广百百货(C840)"</f>
        <v>PR 广州广百百货(C840)</v>
      </c>
      <c r="D120" s="2" t="str">
        <f t="shared" si="111"/>
        <v>2026</v>
      </c>
      <c r="E120" s="2" t="str">
        <f t="shared" si="112"/>
        <v>夏</v>
      </c>
      <c r="F120" s="2" t="str">
        <f t="shared" si="113"/>
        <v>一般毛衣(SWEATER)(KW)</v>
      </c>
      <c r="H120" s="2" t="str">
        <f t="shared" si="114"/>
        <v>PRKWG2303M</v>
      </c>
      <c r="I120" s="2" t="str">
        <f t="shared" si="136"/>
        <v>(99)MIX99</v>
      </c>
      <c r="J120" s="2" t="str">
        <f t="shared" si="138"/>
        <v>160</v>
      </c>
      <c r="K120" s="2" t="str">
        <f>"PRKWG2303M99160"</f>
        <v>PRKWG2303M99160</v>
      </c>
      <c r="L120" s="2" t="str">
        <f t="shared" si="115"/>
        <v>899</v>
      </c>
      <c r="M120" s="1">
        <v>3</v>
      </c>
      <c r="N120" s="1">
        <v>2697</v>
      </c>
      <c r="O120" s="1">
        <v>3</v>
      </c>
      <c r="P120" s="1">
        <v>2697</v>
      </c>
      <c r="Q120" s="1">
        <v>0</v>
      </c>
      <c r="R120" s="1">
        <v>0</v>
      </c>
      <c r="S120" s="1">
        <v>0</v>
      </c>
      <c r="T120" s="1">
        <v>0</v>
      </c>
      <c r="U120" s="1">
        <v>3</v>
      </c>
      <c r="V120" s="1">
        <v>2697</v>
      </c>
    </row>
    <row r="121" spans="1:22" x14ac:dyDescent="0.15">
      <c r="A121" s="2" t="str">
        <f t="shared" si="142"/>
        <v>C840</v>
      </c>
      <c r="B121" s="2" t="str">
        <f t="shared" si="143"/>
        <v>华南支社</v>
      </c>
      <c r="C121" s="2" t="str">
        <f t="shared" si="144"/>
        <v>PR 广州广百百货(C840)</v>
      </c>
      <c r="D121" s="2" t="str">
        <f t="shared" si="111"/>
        <v>2026</v>
      </c>
      <c r="E121" s="2" t="str">
        <f t="shared" si="112"/>
        <v>夏</v>
      </c>
      <c r="F121" s="2" t="str">
        <f t="shared" si="113"/>
        <v>一般毛衣(SWEATER)(KW)</v>
      </c>
      <c r="H121" s="2" t="str">
        <f t="shared" si="114"/>
        <v>PRKWG2303M</v>
      </c>
      <c r="I121" s="2" t="str">
        <f t="shared" si="136"/>
        <v>(99)MIX99</v>
      </c>
      <c r="J121" s="2" t="str">
        <f t="shared" ref="J121:J124" si="145">"165"</f>
        <v>165</v>
      </c>
      <c r="K121" s="2" t="str">
        <f>"PRKWG2303M99165"</f>
        <v>PRKWG2303M99165</v>
      </c>
      <c r="L121" s="2" t="str">
        <f t="shared" si="115"/>
        <v>899</v>
      </c>
      <c r="M121" s="1">
        <v>2</v>
      </c>
      <c r="N121" s="1">
        <v>1798</v>
      </c>
      <c r="O121" s="1">
        <v>2</v>
      </c>
      <c r="P121" s="1">
        <v>1798</v>
      </c>
      <c r="Q121" s="1">
        <v>0</v>
      </c>
      <c r="R121" s="1">
        <v>0</v>
      </c>
      <c r="S121" s="1">
        <v>0</v>
      </c>
      <c r="T121" s="1">
        <v>0</v>
      </c>
      <c r="U121" s="1">
        <v>2</v>
      </c>
      <c r="V121" s="1">
        <v>1798</v>
      </c>
    </row>
    <row r="122" spans="1:22" x14ac:dyDescent="0.15">
      <c r="A122" s="2" t="str">
        <f t="shared" si="142"/>
        <v>C840</v>
      </c>
      <c r="B122" s="2" t="str">
        <f t="shared" si="143"/>
        <v>华南支社</v>
      </c>
      <c r="C122" s="2" t="str">
        <f t="shared" si="144"/>
        <v>PR 广州广百百货(C840)</v>
      </c>
      <c r="D122" s="2" t="str">
        <f t="shared" si="111"/>
        <v>2026</v>
      </c>
      <c r="E122" s="2" t="str">
        <f t="shared" si="112"/>
        <v>夏</v>
      </c>
      <c r="F122" s="2" t="str">
        <f t="shared" si="113"/>
        <v>一般毛衣(SWEATER)(KW)</v>
      </c>
      <c r="H122" s="2" t="str">
        <f t="shared" si="114"/>
        <v>PRKWG2303M</v>
      </c>
      <c r="I122" s="2" t="str">
        <f t="shared" si="136"/>
        <v>(99)MIX99</v>
      </c>
      <c r="J122" s="2" t="str">
        <f>"170"</f>
        <v>170</v>
      </c>
      <c r="K122" s="2" t="str">
        <f>"PRKWG2303M99170"</f>
        <v>PRKWG2303M99170</v>
      </c>
      <c r="L122" s="2" t="str">
        <f t="shared" si="115"/>
        <v>899</v>
      </c>
      <c r="M122" s="1">
        <v>1</v>
      </c>
      <c r="N122" s="1">
        <v>899</v>
      </c>
      <c r="O122" s="1">
        <v>1</v>
      </c>
      <c r="P122" s="1">
        <v>899</v>
      </c>
      <c r="Q122" s="1">
        <v>0</v>
      </c>
      <c r="R122" s="1">
        <v>0</v>
      </c>
      <c r="S122" s="1">
        <v>0</v>
      </c>
      <c r="T122" s="1">
        <v>0</v>
      </c>
      <c r="U122" s="1">
        <v>1</v>
      </c>
      <c r="V122" s="1">
        <v>899</v>
      </c>
    </row>
    <row r="123" spans="1:22" x14ac:dyDescent="0.15">
      <c r="A123" s="2" t="str">
        <f>"C8DK"</f>
        <v>C8DK</v>
      </c>
      <c r="B123" s="2" t="str">
        <f>"华北支社"</f>
        <v>华北支社</v>
      </c>
      <c r="C123" s="2" t="str">
        <f>"PR 石家庄万达百货(C8DK)"</f>
        <v>PR 石家庄万达百货(C8DK)</v>
      </c>
      <c r="D123" s="2" t="str">
        <f t="shared" si="111"/>
        <v>2026</v>
      </c>
      <c r="E123" s="2" t="str">
        <f t="shared" si="112"/>
        <v>夏</v>
      </c>
      <c r="F123" s="2" t="str">
        <f t="shared" si="113"/>
        <v>一般毛衣(SWEATER)(KW)</v>
      </c>
      <c r="H123" s="2" t="str">
        <f t="shared" si="114"/>
        <v>PRKWG2303M</v>
      </c>
      <c r="I123" s="2" t="str">
        <f t="shared" si="136"/>
        <v>(99)MIX99</v>
      </c>
      <c r="J123" s="2" t="str">
        <f>"160"</f>
        <v>160</v>
      </c>
      <c r="K123" s="2" t="str">
        <f>"PRKWG2303M99160"</f>
        <v>PRKWG2303M99160</v>
      </c>
      <c r="L123" s="2" t="str">
        <f t="shared" si="115"/>
        <v>899</v>
      </c>
      <c r="M123" s="1">
        <v>3</v>
      </c>
      <c r="N123" s="1">
        <v>2697</v>
      </c>
      <c r="O123" s="1">
        <v>3</v>
      </c>
      <c r="P123" s="1">
        <v>2697</v>
      </c>
      <c r="Q123" s="1">
        <v>0</v>
      </c>
      <c r="R123" s="1">
        <v>0</v>
      </c>
      <c r="S123" s="1">
        <v>0</v>
      </c>
      <c r="T123" s="1">
        <v>0</v>
      </c>
      <c r="U123" s="1">
        <v>3</v>
      </c>
      <c r="V123" s="1">
        <v>2697</v>
      </c>
    </row>
    <row r="124" spans="1:22" x14ac:dyDescent="0.15">
      <c r="A124" s="2" t="str">
        <f>"C8DK"</f>
        <v>C8DK</v>
      </c>
      <c r="B124" s="2" t="str">
        <f>"华北支社"</f>
        <v>华北支社</v>
      </c>
      <c r="C124" s="2" t="str">
        <f>"PR 石家庄万达百货(C8DK)"</f>
        <v>PR 石家庄万达百货(C8DK)</v>
      </c>
      <c r="D124" s="2" t="str">
        <f t="shared" si="111"/>
        <v>2026</v>
      </c>
      <c r="E124" s="2" t="str">
        <f t="shared" si="112"/>
        <v>夏</v>
      </c>
      <c r="F124" s="2" t="str">
        <f t="shared" si="113"/>
        <v>一般毛衣(SWEATER)(KW)</v>
      </c>
      <c r="H124" s="2" t="str">
        <f t="shared" si="114"/>
        <v>PRKWG2303M</v>
      </c>
      <c r="I124" s="2" t="str">
        <f t="shared" si="136"/>
        <v>(99)MIX99</v>
      </c>
      <c r="J124" s="2" t="str">
        <f t="shared" si="145"/>
        <v>165</v>
      </c>
      <c r="K124" s="2" t="str">
        <f>"PRKWG2303M99165"</f>
        <v>PRKWG2303M99165</v>
      </c>
      <c r="L124" s="2" t="str">
        <f t="shared" si="115"/>
        <v>899</v>
      </c>
      <c r="M124" s="1">
        <v>2</v>
      </c>
      <c r="N124" s="1">
        <v>1798</v>
      </c>
      <c r="O124" s="1">
        <v>2</v>
      </c>
      <c r="P124" s="1">
        <v>1798</v>
      </c>
      <c r="Q124" s="1">
        <v>0</v>
      </c>
      <c r="R124" s="1">
        <v>0</v>
      </c>
      <c r="S124" s="1">
        <v>0</v>
      </c>
      <c r="T124" s="1">
        <v>0</v>
      </c>
      <c r="U124" s="1">
        <v>2</v>
      </c>
      <c r="V124" s="1">
        <v>1798</v>
      </c>
    </row>
    <row r="125" spans="1:22" x14ac:dyDescent="0.15">
      <c r="A125" s="2" t="str">
        <f t="shared" ref="A125:A128" si="146">"C8GN"</f>
        <v>C8GN</v>
      </c>
      <c r="B125" s="2" t="str">
        <f t="shared" ref="B125:B128" si="147">"河南支社"</f>
        <v>河南支社</v>
      </c>
      <c r="C125" s="2" t="str">
        <f t="shared" ref="C125:C128" si="148">"PR 郑州丹尼斯CBD(C8GN)"</f>
        <v>PR 郑州丹尼斯CBD(C8GN)</v>
      </c>
      <c r="D125" s="2" t="str">
        <f t="shared" si="111"/>
        <v>2026</v>
      </c>
      <c r="E125" s="2" t="str">
        <f t="shared" si="112"/>
        <v>夏</v>
      </c>
      <c r="F125" s="2" t="str">
        <f t="shared" si="113"/>
        <v>一般毛衣(SWEATER)(KW)</v>
      </c>
      <c r="H125" s="2" t="str">
        <f t="shared" si="114"/>
        <v>PRKWG2303M</v>
      </c>
      <c r="I125" s="2" t="str">
        <f t="shared" ref="I125:I136" si="149">"(99)MIX99"</f>
        <v>(99)MIX99</v>
      </c>
      <c r="J125" s="2" t="str">
        <f>"155"</f>
        <v>155</v>
      </c>
      <c r="K125" s="2" t="str">
        <f>"PRKWG2303M99155"</f>
        <v>PRKWG2303M99155</v>
      </c>
      <c r="L125" s="2" t="str">
        <f t="shared" si="115"/>
        <v>899</v>
      </c>
      <c r="M125" s="1">
        <v>1</v>
      </c>
      <c r="N125" s="1">
        <v>899</v>
      </c>
      <c r="O125" s="1">
        <v>1</v>
      </c>
      <c r="P125" s="1">
        <v>899</v>
      </c>
      <c r="Q125" s="1">
        <v>0</v>
      </c>
      <c r="R125" s="1">
        <v>0</v>
      </c>
      <c r="S125" s="1">
        <v>0</v>
      </c>
      <c r="T125" s="1">
        <v>0</v>
      </c>
      <c r="U125" s="1">
        <v>1</v>
      </c>
      <c r="V125" s="1">
        <v>899</v>
      </c>
    </row>
    <row r="126" spans="1:22" x14ac:dyDescent="0.15">
      <c r="A126" s="2" t="str">
        <f t="shared" si="146"/>
        <v>C8GN</v>
      </c>
      <c r="B126" s="2" t="str">
        <f t="shared" si="147"/>
        <v>河南支社</v>
      </c>
      <c r="C126" s="2" t="str">
        <f t="shared" si="148"/>
        <v>PR 郑州丹尼斯CBD(C8GN)</v>
      </c>
      <c r="D126" s="2" t="str">
        <f t="shared" si="111"/>
        <v>2026</v>
      </c>
      <c r="E126" s="2" t="str">
        <f t="shared" si="112"/>
        <v>夏</v>
      </c>
      <c r="F126" s="2" t="str">
        <f t="shared" si="113"/>
        <v>一般毛衣(SWEATER)(KW)</v>
      </c>
      <c r="H126" s="2" t="str">
        <f t="shared" si="114"/>
        <v>PRKWG2303M</v>
      </c>
      <c r="I126" s="2" t="str">
        <f t="shared" si="149"/>
        <v>(99)MIX99</v>
      </c>
      <c r="J126" s="2" t="str">
        <f>"160"</f>
        <v>160</v>
      </c>
      <c r="K126" s="2" t="str">
        <f>"PRKWG2303M99160"</f>
        <v>PRKWG2303M99160</v>
      </c>
      <c r="L126" s="2" t="str">
        <f t="shared" si="115"/>
        <v>899</v>
      </c>
      <c r="M126" s="1">
        <v>3</v>
      </c>
      <c r="N126" s="1">
        <v>2697</v>
      </c>
      <c r="O126" s="1">
        <v>3</v>
      </c>
      <c r="P126" s="1">
        <v>2697</v>
      </c>
      <c r="Q126" s="1">
        <v>0</v>
      </c>
      <c r="R126" s="1">
        <v>0</v>
      </c>
      <c r="S126" s="1">
        <v>0</v>
      </c>
      <c r="T126" s="1">
        <v>0</v>
      </c>
      <c r="U126" s="1">
        <v>3</v>
      </c>
      <c r="V126" s="1">
        <v>2697</v>
      </c>
    </row>
    <row r="127" spans="1:22" x14ac:dyDescent="0.15">
      <c r="A127" s="2" t="str">
        <f t="shared" si="146"/>
        <v>C8GN</v>
      </c>
      <c r="B127" s="2" t="str">
        <f t="shared" si="147"/>
        <v>河南支社</v>
      </c>
      <c r="C127" s="2" t="str">
        <f t="shared" si="148"/>
        <v>PR 郑州丹尼斯CBD(C8GN)</v>
      </c>
      <c r="D127" s="2" t="str">
        <f t="shared" si="111"/>
        <v>2026</v>
      </c>
      <c r="E127" s="2" t="str">
        <f t="shared" si="112"/>
        <v>夏</v>
      </c>
      <c r="F127" s="2" t="str">
        <f t="shared" si="113"/>
        <v>一般毛衣(SWEATER)(KW)</v>
      </c>
      <c r="H127" s="2" t="str">
        <f t="shared" si="114"/>
        <v>PRKWG2303M</v>
      </c>
      <c r="I127" s="2" t="str">
        <f t="shared" si="149"/>
        <v>(99)MIX99</v>
      </c>
      <c r="J127" s="2" t="str">
        <f>"165"</f>
        <v>165</v>
      </c>
      <c r="K127" s="2" t="str">
        <f>"PRKWG2303M99165"</f>
        <v>PRKWG2303M99165</v>
      </c>
      <c r="L127" s="2" t="str">
        <f t="shared" si="115"/>
        <v>899</v>
      </c>
      <c r="M127" s="1">
        <v>2</v>
      </c>
      <c r="N127" s="1">
        <v>1798</v>
      </c>
      <c r="O127" s="1">
        <v>2</v>
      </c>
      <c r="P127" s="1">
        <v>1798</v>
      </c>
      <c r="Q127" s="1">
        <v>0</v>
      </c>
      <c r="R127" s="1">
        <v>0</v>
      </c>
      <c r="S127" s="1">
        <v>0</v>
      </c>
      <c r="T127" s="1">
        <v>0</v>
      </c>
      <c r="U127" s="1">
        <v>2</v>
      </c>
      <c r="V127" s="1">
        <v>1798</v>
      </c>
    </row>
    <row r="128" spans="1:22" x14ac:dyDescent="0.15">
      <c r="A128" s="2" t="str">
        <f t="shared" si="146"/>
        <v>C8GN</v>
      </c>
      <c r="B128" s="2" t="str">
        <f t="shared" si="147"/>
        <v>河南支社</v>
      </c>
      <c r="C128" s="2" t="str">
        <f t="shared" si="148"/>
        <v>PR 郑州丹尼斯CBD(C8GN)</v>
      </c>
      <c r="D128" s="2" t="str">
        <f t="shared" si="111"/>
        <v>2026</v>
      </c>
      <c r="E128" s="2" t="str">
        <f t="shared" si="112"/>
        <v>夏</v>
      </c>
      <c r="F128" s="2" t="str">
        <f t="shared" si="113"/>
        <v>一般毛衣(SWEATER)(KW)</v>
      </c>
      <c r="H128" s="2" t="str">
        <f t="shared" si="114"/>
        <v>PRKWG2303M</v>
      </c>
      <c r="I128" s="2" t="str">
        <f t="shared" si="149"/>
        <v>(99)MIX99</v>
      </c>
      <c r="J128" s="2" t="str">
        <f>"170"</f>
        <v>170</v>
      </c>
      <c r="K128" s="2" t="str">
        <f>"PRKWG2303M99170"</f>
        <v>PRKWG2303M99170</v>
      </c>
      <c r="L128" s="2" t="str">
        <f t="shared" si="115"/>
        <v>899</v>
      </c>
      <c r="M128" s="1">
        <v>1</v>
      </c>
      <c r="N128" s="1">
        <v>899</v>
      </c>
      <c r="O128" s="1">
        <v>1</v>
      </c>
      <c r="P128" s="1">
        <v>899</v>
      </c>
      <c r="Q128" s="1">
        <v>0</v>
      </c>
      <c r="R128" s="1">
        <v>0</v>
      </c>
      <c r="S128" s="1">
        <v>0</v>
      </c>
      <c r="T128" s="1">
        <v>0</v>
      </c>
      <c r="U128" s="1">
        <v>1</v>
      </c>
      <c r="V128" s="1">
        <v>899</v>
      </c>
    </row>
    <row r="129" spans="1:22" x14ac:dyDescent="0.15">
      <c r="A129" s="2" t="str">
        <f t="shared" ref="A129:A131" si="150">"C8M2"</f>
        <v>C8M2</v>
      </c>
      <c r="B129" s="2" t="str">
        <f t="shared" ref="B129:B131" si="151">"川西支社"</f>
        <v>川西支社</v>
      </c>
      <c r="C129" s="2" t="str">
        <f t="shared" ref="C129:C131" si="152">"PR 成都伊藤高新店(C8M2)"</f>
        <v>PR 成都伊藤高新店(C8M2)</v>
      </c>
      <c r="D129" s="2" t="str">
        <f t="shared" si="111"/>
        <v>2026</v>
      </c>
      <c r="E129" s="2" t="str">
        <f t="shared" si="112"/>
        <v>夏</v>
      </c>
      <c r="F129" s="2" t="str">
        <f t="shared" si="113"/>
        <v>一般毛衣(SWEATER)(KW)</v>
      </c>
      <c r="H129" s="2" t="str">
        <f t="shared" si="114"/>
        <v>PRKWG2303M</v>
      </c>
      <c r="I129" s="2" t="str">
        <f t="shared" si="149"/>
        <v>(99)MIX99</v>
      </c>
      <c r="J129" s="2" t="str">
        <f t="shared" ref="J129:J134" si="153">"160"</f>
        <v>160</v>
      </c>
      <c r="K129" s="2" t="str">
        <f t="shared" ref="K129:K134" si="154">"PRKWG2303M99160"</f>
        <v>PRKWG2303M99160</v>
      </c>
      <c r="L129" s="2" t="str">
        <f t="shared" si="115"/>
        <v>899</v>
      </c>
      <c r="M129" s="1">
        <v>2</v>
      </c>
      <c r="N129" s="1">
        <v>1798</v>
      </c>
      <c r="O129" s="1">
        <v>2</v>
      </c>
      <c r="P129" s="1">
        <v>1798</v>
      </c>
      <c r="Q129" s="1">
        <v>0</v>
      </c>
      <c r="R129" s="1">
        <v>0</v>
      </c>
      <c r="S129" s="1">
        <v>0</v>
      </c>
      <c r="T129" s="1">
        <v>0</v>
      </c>
      <c r="U129" s="1">
        <v>2</v>
      </c>
      <c r="V129" s="1">
        <v>1798</v>
      </c>
    </row>
    <row r="130" spans="1:22" x14ac:dyDescent="0.15">
      <c r="A130" s="2" t="str">
        <f t="shared" si="150"/>
        <v>C8M2</v>
      </c>
      <c r="B130" s="2" t="str">
        <f t="shared" si="151"/>
        <v>川西支社</v>
      </c>
      <c r="C130" s="2" t="str">
        <f t="shared" si="152"/>
        <v>PR 成都伊藤高新店(C8M2)</v>
      </c>
      <c r="D130" s="2" t="str">
        <f t="shared" si="111"/>
        <v>2026</v>
      </c>
      <c r="E130" s="2" t="str">
        <f t="shared" si="112"/>
        <v>夏</v>
      </c>
      <c r="F130" s="2" t="str">
        <f t="shared" si="113"/>
        <v>一般毛衣(SWEATER)(KW)</v>
      </c>
      <c r="H130" s="2" t="str">
        <f t="shared" si="114"/>
        <v>PRKWG2303M</v>
      </c>
      <c r="I130" s="2" t="str">
        <f t="shared" si="149"/>
        <v>(99)MIX99</v>
      </c>
      <c r="J130" s="2" t="str">
        <f t="shared" ref="J130:J135" si="155">"165"</f>
        <v>165</v>
      </c>
      <c r="K130" s="2" t="str">
        <f t="shared" ref="K130:K135" si="156">"PRKWG2303M99165"</f>
        <v>PRKWG2303M99165</v>
      </c>
      <c r="L130" s="2" t="str">
        <f t="shared" si="115"/>
        <v>899</v>
      </c>
      <c r="M130" s="1">
        <v>1</v>
      </c>
      <c r="N130" s="1">
        <v>899</v>
      </c>
      <c r="O130" s="1">
        <v>1</v>
      </c>
      <c r="P130" s="1">
        <v>899</v>
      </c>
      <c r="Q130" s="1">
        <v>0</v>
      </c>
      <c r="R130" s="1">
        <v>0</v>
      </c>
      <c r="S130" s="1">
        <v>0</v>
      </c>
      <c r="T130" s="1">
        <v>0</v>
      </c>
      <c r="U130" s="1">
        <v>1</v>
      </c>
      <c r="V130" s="1">
        <v>899</v>
      </c>
    </row>
    <row r="131" spans="1:22" x14ac:dyDescent="0.15">
      <c r="A131" s="2" t="str">
        <f t="shared" si="150"/>
        <v>C8M2</v>
      </c>
      <c r="B131" s="2" t="str">
        <f t="shared" si="151"/>
        <v>川西支社</v>
      </c>
      <c r="C131" s="2" t="str">
        <f t="shared" si="152"/>
        <v>PR 成都伊藤高新店(C8M2)</v>
      </c>
      <c r="D131" s="2" t="str">
        <f t="shared" si="111"/>
        <v>2026</v>
      </c>
      <c r="E131" s="2" t="str">
        <f t="shared" si="112"/>
        <v>夏</v>
      </c>
      <c r="F131" s="2" t="str">
        <f t="shared" si="113"/>
        <v>一般毛衣(SWEATER)(KW)</v>
      </c>
      <c r="H131" s="2" t="str">
        <f t="shared" si="114"/>
        <v>PRKWG2303M</v>
      </c>
      <c r="I131" s="2" t="str">
        <f t="shared" si="149"/>
        <v>(99)MIX99</v>
      </c>
      <c r="J131" s="2" t="str">
        <f>"170"</f>
        <v>170</v>
      </c>
      <c r="K131" s="2" t="str">
        <f>"PRKWG2303M99170"</f>
        <v>PRKWG2303M99170</v>
      </c>
      <c r="L131" s="2" t="str">
        <f t="shared" si="115"/>
        <v>899</v>
      </c>
      <c r="M131" s="1">
        <v>1</v>
      </c>
      <c r="N131" s="1">
        <v>899</v>
      </c>
      <c r="O131" s="1">
        <v>1</v>
      </c>
      <c r="P131" s="1">
        <v>899</v>
      </c>
      <c r="Q131" s="1">
        <v>0</v>
      </c>
      <c r="R131" s="1">
        <v>0</v>
      </c>
      <c r="S131" s="1">
        <v>0</v>
      </c>
      <c r="T131" s="1">
        <v>0</v>
      </c>
      <c r="U131" s="1">
        <v>1</v>
      </c>
      <c r="V131" s="1">
        <v>899</v>
      </c>
    </row>
    <row r="132" spans="1:22" x14ac:dyDescent="0.15">
      <c r="A132" s="2" t="str">
        <f>"C8OU"</f>
        <v>C8OU</v>
      </c>
      <c r="B132" s="2" t="str">
        <f>"川南支社"</f>
        <v>川南支社</v>
      </c>
      <c r="C132" s="2" t="str">
        <f>"PR 绵阳新世界(C8OU)"</f>
        <v>PR 绵阳新世界(C8OU)</v>
      </c>
      <c r="D132" s="2" t="str">
        <f t="shared" si="111"/>
        <v>2026</v>
      </c>
      <c r="E132" s="2" t="str">
        <f t="shared" si="112"/>
        <v>夏</v>
      </c>
      <c r="F132" s="2" t="str">
        <f t="shared" si="113"/>
        <v>一般毛衣(SWEATER)(KW)</v>
      </c>
      <c r="H132" s="2" t="str">
        <f t="shared" si="114"/>
        <v>PRKWG2303M</v>
      </c>
      <c r="I132" s="2" t="str">
        <f t="shared" si="149"/>
        <v>(99)MIX99</v>
      </c>
      <c r="J132" s="2" t="str">
        <f t="shared" si="153"/>
        <v>160</v>
      </c>
      <c r="K132" s="2" t="str">
        <f t="shared" si="154"/>
        <v>PRKWG2303M99160</v>
      </c>
      <c r="L132" s="2" t="str">
        <f t="shared" si="115"/>
        <v>899</v>
      </c>
      <c r="M132" s="1">
        <v>2</v>
      </c>
      <c r="N132" s="1">
        <v>1798</v>
      </c>
      <c r="O132" s="1">
        <v>2</v>
      </c>
      <c r="P132" s="1">
        <v>1798</v>
      </c>
      <c r="Q132" s="1">
        <v>0</v>
      </c>
      <c r="R132" s="1">
        <v>0</v>
      </c>
      <c r="S132" s="1">
        <v>0</v>
      </c>
      <c r="T132" s="1">
        <v>0</v>
      </c>
      <c r="U132" s="1">
        <v>2</v>
      </c>
      <c r="V132" s="1">
        <v>1798</v>
      </c>
    </row>
    <row r="133" spans="1:22" x14ac:dyDescent="0.15">
      <c r="A133" s="2" t="str">
        <f>"C8OU"</f>
        <v>C8OU</v>
      </c>
      <c r="B133" s="2" t="str">
        <f>"川南支社"</f>
        <v>川南支社</v>
      </c>
      <c r="C133" s="2" t="str">
        <f>"PR 绵阳新世界(C8OU)"</f>
        <v>PR 绵阳新世界(C8OU)</v>
      </c>
      <c r="D133" s="2" t="str">
        <f t="shared" si="111"/>
        <v>2026</v>
      </c>
      <c r="E133" s="2" t="str">
        <f t="shared" si="112"/>
        <v>夏</v>
      </c>
      <c r="F133" s="2" t="str">
        <f t="shared" si="113"/>
        <v>一般毛衣(SWEATER)(KW)</v>
      </c>
      <c r="H133" s="2" t="str">
        <f t="shared" si="114"/>
        <v>PRKWG2303M</v>
      </c>
      <c r="I133" s="2" t="str">
        <f t="shared" si="149"/>
        <v>(99)MIX99</v>
      </c>
      <c r="J133" s="2" t="str">
        <f t="shared" si="155"/>
        <v>165</v>
      </c>
      <c r="K133" s="2" t="str">
        <f t="shared" si="156"/>
        <v>PRKWG2303M99165</v>
      </c>
      <c r="L133" s="2" t="str">
        <f t="shared" si="115"/>
        <v>899</v>
      </c>
      <c r="M133" s="1">
        <v>1</v>
      </c>
      <c r="N133" s="1">
        <v>899</v>
      </c>
      <c r="O133" s="1">
        <v>1</v>
      </c>
      <c r="P133" s="1">
        <v>899</v>
      </c>
      <c r="Q133" s="1">
        <v>0</v>
      </c>
      <c r="R133" s="1">
        <v>0</v>
      </c>
      <c r="S133" s="1">
        <v>0</v>
      </c>
      <c r="T133" s="1">
        <v>0</v>
      </c>
      <c r="U133" s="1">
        <v>1</v>
      </c>
      <c r="V133" s="1">
        <v>899</v>
      </c>
    </row>
    <row r="134" spans="1:22" x14ac:dyDescent="0.15">
      <c r="A134" s="2" t="str">
        <f t="shared" ref="A134:A136" si="157">"C8UV"</f>
        <v>C8UV</v>
      </c>
      <c r="B134" s="2" t="str">
        <f t="shared" ref="B134:B136" si="158">"东北支社"</f>
        <v>东北支社</v>
      </c>
      <c r="C134" s="2" t="str">
        <f t="shared" ref="C134:C136" si="159">"PR长春欧亚商都（红旗街店）(C8UV)"</f>
        <v>PR长春欧亚商都（红旗街店）(C8UV)</v>
      </c>
      <c r="D134" s="2" t="str">
        <f t="shared" si="111"/>
        <v>2026</v>
      </c>
      <c r="E134" s="2" t="str">
        <f t="shared" si="112"/>
        <v>夏</v>
      </c>
      <c r="F134" s="2" t="str">
        <f t="shared" si="113"/>
        <v>一般毛衣(SWEATER)(KW)</v>
      </c>
      <c r="H134" s="2" t="str">
        <f t="shared" si="114"/>
        <v>PRKWG2303M</v>
      </c>
      <c r="I134" s="2" t="str">
        <f t="shared" si="149"/>
        <v>(99)MIX99</v>
      </c>
      <c r="J134" s="2" t="str">
        <f t="shared" si="153"/>
        <v>160</v>
      </c>
      <c r="K134" s="2" t="str">
        <f t="shared" si="154"/>
        <v>PRKWG2303M99160</v>
      </c>
      <c r="L134" s="2" t="str">
        <f t="shared" si="115"/>
        <v>899</v>
      </c>
      <c r="M134" s="1">
        <v>2</v>
      </c>
      <c r="N134" s="1">
        <v>1798</v>
      </c>
      <c r="O134" s="1">
        <v>2</v>
      </c>
      <c r="P134" s="1">
        <v>1798</v>
      </c>
      <c r="Q134" s="1">
        <v>0</v>
      </c>
      <c r="R134" s="1">
        <v>0</v>
      </c>
      <c r="S134" s="1">
        <v>0</v>
      </c>
      <c r="T134" s="1">
        <v>0</v>
      </c>
      <c r="U134" s="1">
        <v>2</v>
      </c>
      <c r="V134" s="1">
        <v>1798</v>
      </c>
    </row>
    <row r="135" spans="1:22" x14ac:dyDescent="0.15">
      <c r="A135" s="2" t="str">
        <f t="shared" si="157"/>
        <v>C8UV</v>
      </c>
      <c r="B135" s="2" t="str">
        <f t="shared" si="158"/>
        <v>东北支社</v>
      </c>
      <c r="C135" s="2" t="str">
        <f t="shared" si="159"/>
        <v>PR长春欧亚商都（红旗街店）(C8UV)</v>
      </c>
      <c r="D135" s="2" t="str">
        <f t="shared" si="111"/>
        <v>2026</v>
      </c>
      <c r="E135" s="2" t="str">
        <f t="shared" si="112"/>
        <v>夏</v>
      </c>
      <c r="F135" s="2" t="str">
        <f t="shared" si="113"/>
        <v>一般毛衣(SWEATER)(KW)</v>
      </c>
      <c r="H135" s="2" t="str">
        <f t="shared" si="114"/>
        <v>PRKWG2303M</v>
      </c>
      <c r="I135" s="2" t="str">
        <f t="shared" si="149"/>
        <v>(99)MIX99</v>
      </c>
      <c r="J135" s="2" t="str">
        <f t="shared" si="155"/>
        <v>165</v>
      </c>
      <c r="K135" s="2" t="str">
        <f t="shared" si="156"/>
        <v>PRKWG2303M99165</v>
      </c>
      <c r="L135" s="2" t="str">
        <f t="shared" si="115"/>
        <v>899</v>
      </c>
      <c r="M135" s="1">
        <v>1</v>
      </c>
      <c r="N135" s="1">
        <v>899</v>
      </c>
      <c r="O135" s="1">
        <v>1</v>
      </c>
      <c r="P135" s="1">
        <v>899</v>
      </c>
      <c r="Q135" s="1">
        <v>0</v>
      </c>
      <c r="R135" s="1">
        <v>0</v>
      </c>
      <c r="S135" s="1">
        <v>0</v>
      </c>
      <c r="T135" s="1">
        <v>0</v>
      </c>
      <c r="U135" s="1">
        <v>1</v>
      </c>
      <c r="V135" s="1">
        <v>899</v>
      </c>
    </row>
    <row r="136" spans="1:22" x14ac:dyDescent="0.15">
      <c r="A136" s="2" t="str">
        <f t="shared" si="157"/>
        <v>C8UV</v>
      </c>
      <c r="B136" s="2" t="str">
        <f t="shared" si="158"/>
        <v>东北支社</v>
      </c>
      <c r="C136" s="2" t="str">
        <f t="shared" si="159"/>
        <v>PR长春欧亚商都（红旗街店）(C8UV)</v>
      </c>
      <c r="D136" s="2" t="str">
        <f t="shared" si="111"/>
        <v>2026</v>
      </c>
      <c r="E136" s="2" t="str">
        <f t="shared" si="112"/>
        <v>夏</v>
      </c>
      <c r="F136" s="2" t="str">
        <f t="shared" si="113"/>
        <v>一般毛衣(SWEATER)(KW)</v>
      </c>
      <c r="H136" s="2" t="str">
        <f t="shared" si="114"/>
        <v>PRKWG2303M</v>
      </c>
      <c r="I136" s="2" t="str">
        <f t="shared" si="149"/>
        <v>(99)MIX99</v>
      </c>
      <c r="J136" s="2" t="str">
        <f>"170"</f>
        <v>170</v>
      </c>
      <c r="K136" s="2" t="str">
        <f>"PRKWG2303M99170"</f>
        <v>PRKWG2303M99170</v>
      </c>
      <c r="L136" s="2" t="str">
        <f t="shared" si="115"/>
        <v>899</v>
      </c>
      <c r="M136" s="1">
        <v>3</v>
      </c>
      <c r="N136" s="1">
        <v>2697</v>
      </c>
      <c r="O136" s="1">
        <v>3</v>
      </c>
      <c r="P136" s="1">
        <v>2697</v>
      </c>
      <c r="Q136" s="1">
        <v>0</v>
      </c>
      <c r="R136" s="1">
        <v>0</v>
      </c>
      <c r="S136" s="1">
        <v>0</v>
      </c>
      <c r="T136" s="1">
        <v>0</v>
      </c>
      <c r="U136" s="1">
        <v>3</v>
      </c>
      <c r="V136" s="1">
        <v>2697</v>
      </c>
    </row>
    <row r="137" spans="1:22" x14ac:dyDescent="0.15">
      <c r="A137" s="2" t="str">
        <f t="shared" ref="A137:A139" si="160">"C95A"</f>
        <v>C95A</v>
      </c>
      <c r="B137" s="2" t="str">
        <f t="shared" ref="B137:B139" si="161">"北京支社"</f>
        <v>北京支社</v>
      </c>
      <c r="C137" s="2" t="str">
        <f t="shared" ref="C137:C139" si="162">"PR 呼和浩特万达百货(C95A)"</f>
        <v>PR 呼和浩特万达百货(C95A)</v>
      </c>
      <c r="D137" s="2" t="str">
        <f t="shared" si="111"/>
        <v>2026</v>
      </c>
      <c r="E137" s="2" t="str">
        <f t="shared" si="112"/>
        <v>夏</v>
      </c>
      <c r="F137" s="2" t="str">
        <f t="shared" si="113"/>
        <v>一般毛衣(SWEATER)(KW)</v>
      </c>
      <c r="H137" s="2" t="str">
        <f t="shared" si="114"/>
        <v>PRKWG2303M</v>
      </c>
      <c r="I137" s="2" t="str">
        <f t="shared" ref="I137:I147" si="163">"(99)MIX99"</f>
        <v>(99)MIX99</v>
      </c>
      <c r="J137" s="2" t="str">
        <f t="shared" ref="J137:J142" si="164">"160"</f>
        <v>160</v>
      </c>
      <c r="K137" s="2" t="str">
        <f t="shared" ref="K137:K142" si="165">"PRKWG2303M99160"</f>
        <v>PRKWG2303M99160</v>
      </c>
      <c r="L137" s="2" t="str">
        <f t="shared" si="115"/>
        <v>899</v>
      </c>
      <c r="M137" s="1">
        <v>5</v>
      </c>
      <c r="N137" s="1">
        <v>4495</v>
      </c>
      <c r="O137" s="1">
        <v>5</v>
      </c>
      <c r="P137" s="1">
        <v>4495</v>
      </c>
      <c r="Q137" s="1">
        <v>0</v>
      </c>
      <c r="R137" s="1">
        <v>0</v>
      </c>
      <c r="S137" s="1">
        <v>0</v>
      </c>
      <c r="T137" s="1">
        <v>0</v>
      </c>
      <c r="U137" s="1">
        <v>5</v>
      </c>
      <c r="V137" s="1">
        <v>4495</v>
      </c>
    </row>
    <row r="138" spans="1:22" x14ac:dyDescent="0.15">
      <c r="A138" s="2" t="str">
        <f t="shared" si="160"/>
        <v>C95A</v>
      </c>
      <c r="B138" s="2" t="str">
        <f t="shared" si="161"/>
        <v>北京支社</v>
      </c>
      <c r="C138" s="2" t="str">
        <f t="shared" si="162"/>
        <v>PR 呼和浩特万达百货(C95A)</v>
      </c>
      <c r="D138" s="2" t="str">
        <f t="shared" si="111"/>
        <v>2026</v>
      </c>
      <c r="E138" s="2" t="str">
        <f t="shared" si="112"/>
        <v>夏</v>
      </c>
      <c r="F138" s="2" t="str">
        <f t="shared" si="113"/>
        <v>一般毛衣(SWEATER)(KW)</v>
      </c>
      <c r="H138" s="2" t="str">
        <f t="shared" si="114"/>
        <v>PRKWG2303M</v>
      </c>
      <c r="I138" s="2" t="str">
        <f t="shared" si="163"/>
        <v>(99)MIX99</v>
      </c>
      <c r="J138" s="2" t="str">
        <f t="shared" ref="J138:J143" si="166">"165"</f>
        <v>165</v>
      </c>
      <c r="K138" s="2" t="str">
        <f t="shared" ref="K138:K143" si="167">"PRKWG2303M99165"</f>
        <v>PRKWG2303M99165</v>
      </c>
      <c r="L138" s="2" t="str">
        <f t="shared" si="115"/>
        <v>899</v>
      </c>
      <c r="M138" s="1">
        <v>3</v>
      </c>
      <c r="N138" s="1">
        <v>2697</v>
      </c>
      <c r="O138" s="1">
        <v>3</v>
      </c>
      <c r="P138" s="1">
        <v>2697</v>
      </c>
      <c r="Q138" s="1">
        <v>0</v>
      </c>
      <c r="R138" s="1">
        <v>0</v>
      </c>
      <c r="S138" s="1">
        <v>0</v>
      </c>
      <c r="T138" s="1">
        <v>0</v>
      </c>
      <c r="U138" s="1">
        <v>3</v>
      </c>
      <c r="V138" s="1">
        <v>2697</v>
      </c>
    </row>
    <row r="139" spans="1:22" x14ac:dyDescent="0.15">
      <c r="A139" s="2" t="str">
        <f t="shared" si="160"/>
        <v>C95A</v>
      </c>
      <c r="B139" s="2" t="str">
        <f t="shared" si="161"/>
        <v>北京支社</v>
      </c>
      <c r="C139" s="2" t="str">
        <f t="shared" si="162"/>
        <v>PR 呼和浩特万达百货(C95A)</v>
      </c>
      <c r="D139" s="2" t="str">
        <f t="shared" si="111"/>
        <v>2026</v>
      </c>
      <c r="E139" s="2" t="str">
        <f t="shared" si="112"/>
        <v>夏</v>
      </c>
      <c r="F139" s="2" t="str">
        <f t="shared" si="113"/>
        <v>一般毛衣(SWEATER)(KW)</v>
      </c>
      <c r="H139" s="2" t="str">
        <f t="shared" si="114"/>
        <v>PRKWG2303M</v>
      </c>
      <c r="I139" s="2" t="str">
        <f t="shared" si="163"/>
        <v>(99)MIX99</v>
      </c>
      <c r="J139" s="2" t="str">
        <f>"170"</f>
        <v>170</v>
      </c>
      <c r="K139" s="2" t="str">
        <f>"PRKWG2303M99170"</f>
        <v>PRKWG2303M99170</v>
      </c>
      <c r="L139" s="2" t="str">
        <f t="shared" si="115"/>
        <v>899</v>
      </c>
      <c r="M139" s="1">
        <v>3</v>
      </c>
      <c r="N139" s="1">
        <v>2697</v>
      </c>
      <c r="O139" s="1">
        <v>3</v>
      </c>
      <c r="P139" s="1">
        <v>2697</v>
      </c>
      <c r="Q139" s="1">
        <v>0</v>
      </c>
      <c r="R139" s="1">
        <v>0</v>
      </c>
      <c r="S139" s="1">
        <v>0</v>
      </c>
      <c r="T139" s="1">
        <v>0</v>
      </c>
      <c r="U139" s="1">
        <v>3</v>
      </c>
      <c r="V139" s="1">
        <v>2697</v>
      </c>
    </row>
    <row r="140" spans="1:22" x14ac:dyDescent="0.15">
      <c r="A140" s="2" t="str">
        <f>"C9OL"</f>
        <v>C9OL</v>
      </c>
      <c r="B140" s="2" t="str">
        <f>"华南支社"</f>
        <v>华南支社</v>
      </c>
      <c r="C140" s="2" t="str">
        <f>"PR 南宁百盛琅东店(C9OL)"</f>
        <v>PR 南宁百盛琅东店(C9OL)</v>
      </c>
      <c r="D140" s="2" t="str">
        <f t="shared" si="111"/>
        <v>2026</v>
      </c>
      <c r="E140" s="2" t="str">
        <f t="shared" si="112"/>
        <v>夏</v>
      </c>
      <c r="F140" s="2" t="str">
        <f t="shared" si="113"/>
        <v>一般毛衣(SWEATER)(KW)</v>
      </c>
      <c r="H140" s="2" t="str">
        <f t="shared" si="114"/>
        <v>PRKWG2303M</v>
      </c>
      <c r="I140" s="2" t="str">
        <f t="shared" si="163"/>
        <v>(99)MIX99</v>
      </c>
      <c r="J140" s="2" t="str">
        <f t="shared" si="164"/>
        <v>160</v>
      </c>
      <c r="K140" s="2" t="str">
        <f t="shared" si="165"/>
        <v>PRKWG2303M99160</v>
      </c>
      <c r="L140" s="2" t="str">
        <f t="shared" si="115"/>
        <v>899</v>
      </c>
      <c r="M140" s="1">
        <v>3</v>
      </c>
      <c r="N140" s="1">
        <v>2697</v>
      </c>
      <c r="O140" s="1">
        <v>3</v>
      </c>
      <c r="P140" s="1">
        <v>2697</v>
      </c>
      <c r="Q140" s="1">
        <v>0</v>
      </c>
      <c r="R140" s="1">
        <v>0</v>
      </c>
      <c r="S140" s="1">
        <v>0</v>
      </c>
      <c r="T140" s="1">
        <v>0</v>
      </c>
      <c r="U140" s="1">
        <v>3</v>
      </c>
      <c r="V140" s="1">
        <v>2697</v>
      </c>
    </row>
    <row r="141" spans="1:22" x14ac:dyDescent="0.15">
      <c r="A141" s="2" t="str">
        <f>"C9OL"</f>
        <v>C9OL</v>
      </c>
      <c r="B141" s="2" t="str">
        <f>"华南支社"</f>
        <v>华南支社</v>
      </c>
      <c r="C141" s="2" t="str">
        <f>"PR 南宁百盛琅东店(C9OL)"</f>
        <v>PR 南宁百盛琅东店(C9OL)</v>
      </c>
      <c r="D141" s="2" t="str">
        <f t="shared" si="111"/>
        <v>2026</v>
      </c>
      <c r="E141" s="2" t="str">
        <f t="shared" si="112"/>
        <v>夏</v>
      </c>
      <c r="F141" s="2" t="str">
        <f t="shared" si="113"/>
        <v>一般毛衣(SWEATER)(KW)</v>
      </c>
      <c r="H141" s="2" t="str">
        <f t="shared" si="114"/>
        <v>PRKWG2303M</v>
      </c>
      <c r="I141" s="2" t="str">
        <f t="shared" si="163"/>
        <v>(99)MIX99</v>
      </c>
      <c r="J141" s="2" t="str">
        <f t="shared" si="166"/>
        <v>165</v>
      </c>
      <c r="K141" s="2" t="str">
        <f t="shared" si="167"/>
        <v>PRKWG2303M99165</v>
      </c>
      <c r="L141" s="2" t="str">
        <f t="shared" si="115"/>
        <v>899</v>
      </c>
      <c r="M141" s="1">
        <v>2</v>
      </c>
      <c r="N141" s="1">
        <v>1798</v>
      </c>
      <c r="O141" s="1">
        <v>2</v>
      </c>
      <c r="P141" s="1">
        <v>1798</v>
      </c>
      <c r="Q141" s="1">
        <v>0</v>
      </c>
      <c r="R141" s="1">
        <v>0</v>
      </c>
      <c r="S141" s="1">
        <v>0</v>
      </c>
      <c r="T141" s="1">
        <v>0</v>
      </c>
      <c r="U141" s="1">
        <v>2</v>
      </c>
      <c r="V141" s="1">
        <v>1798</v>
      </c>
    </row>
    <row r="142" spans="1:22" x14ac:dyDescent="0.15">
      <c r="A142" s="2" t="str">
        <f t="shared" ref="A142:A144" si="168">"C9XR"</f>
        <v>C9XR</v>
      </c>
      <c r="B142" s="2" t="str">
        <f t="shared" ref="B142:B144" si="169">"浙江支社"</f>
        <v>浙江支社</v>
      </c>
      <c r="C142" s="2" t="str">
        <f t="shared" ref="C142:C144" si="170">"PR 合肥大洋(C9XR)"</f>
        <v>PR 合肥大洋(C9XR)</v>
      </c>
      <c r="D142" s="2" t="str">
        <f t="shared" si="111"/>
        <v>2026</v>
      </c>
      <c r="E142" s="2" t="str">
        <f t="shared" si="112"/>
        <v>夏</v>
      </c>
      <c r="F142" s="2" t="str">
        <f t="shared" si="113"/>
        <v>一般毛衣(SWEATER)(KW)</v>
      </c>
      <c r="H142" s="2" t="str">
        <f t="shared" si="114"/>
        <v>PRKWG2303M</v>
      </c>
      <c r="I142" s="2" t="str">
        <f t="shared" si="163"/>
        <v>(99)MIX99</v>
      </c>
      <c r="J142" s="2" t="str">
        <f t="shared" si="164"/>
        <v>160</v>
      </c>
      <c r="K142" s="2" t="str">
        <f t="shared" si="165"/>
        <v>PRKWG2303M99160</v>
      </c>
      <c r="L142" s="2" t="str">
        <f t="shared" si="115"/>
        <v>899</v>
      </c>
      <c r="M142" s="1">
        <v>2</v>
      </c>
      <c r="N142" s="1">
        <v>1798</v>
      </c>
      <c r="O142" s="1">
        <v>2</v>
      </c>
      <c r="P142" s="1">
        <v>1798</v>
      </c>
      <c r="Q142" s="1">
        <v>0</v>
      </c>
      <c r="R142" s="1">
        <v>0</v>
      </c>
      <c r="S142" s="1">
        <v>0</v>
      </c>
      <c r="T142" s="1">
        <v>0</v>
      </c>
      <c r="U142" s="1">
        <v>2</v>
      </c>
      <c r="V142" s="1">
        <v>1798</v>
      </c>
    </row>
    <row r="143" spans="1:22" x14ac:dyDescent="0.15">
      <c r="A143" s="2" t="str">
        <f t="shared" si="168"/>
        <v>C9XR</v>
      </c>
      <c r="B143" s="2" t="str">
        <f t="shared" si="169"/>
        <v>浙江支社</v>
      </c>
      <c r="C143" s="2" t="str">
        <f t="shared" si="170"/>
        <v>PR 合肥大洋(C9XR)</v>
      </c>
      <c r="D143" s="2" t="str">
        <f t="shared" si="111"/>
        <v>2026</v>
      </c>
      <c r="E143" s="2" t="str">
        <f t="shared" si="112"/>
        <v>夏</v>
      </c>
      <c r="F143" s="2" t="str">
        <f t="shared" si="113"/>
        <v>一般毛衣(SWEATER)(KW)</v>
      </c>
      <c r="H143" s="2" t="str">
        <f t="shared" si="114"/>
        <v>PRKWG2303M</v>
      </c>
      <c r="I143" s="2" t="str">
        <f t="shared" si="163"/>
        <v>(99)MIX99</v>
      </c>
      <c r="J143" s="2" t="str">
        <f t="shared" si="166"/>
        <v>165</v>
      </c>
      <c r="K143" s="2" t="str">
        <f t="shared" si="167"/>
        <v>PRKWG2303M99165</v>
      </c>
      <c r="L143" s="2" t="str">
        <f t="shared" si="115"/>
        <v>899</v>
      </c>
      <c r="M143" s="1">
        <v>2</v>
      </c>
      <c r="N143" s="1">
        <v>1798</v>
      </c>
      <c r="O143" s="1">
        <v>2</v>
      </c>
      <c r="P143" s="1">
        <v>1798</v>
      </c>
      <c r="Q143" s="1">
        <v>0</v>
      </c>
      <c r="R143" s="1">
        <v>0</v>
      </c>
      <c r="S143" s="1">
        <v>0</v>
      </c>
      <c r="T143" s="1">
        <v>0</v>
      </c>
      <c r="U143" s="1">
        <v>2</v>
      </c>
      <c r="V143" s="1">
        <v>1798</v>
      </c>
    </row>
    <row r="144" spans="1:22" x14ac:dyDescent="0.15">
      <c r="A144" s="2" t="str">
        <f t="shared" si="168"/>
        <v>C9XR</v>
      </c>
      <c r="B144" s="2" t="str">
        <f t="shared" si="169"/>
        <v>浙江支社</v>
      </c>
      <c r="C144" s="2" t="str">
        <f t="shared" si="170"/>
        <v>PR 合肥大洋(C9XR)</v>
      </c>
      <c r="D144" s="2" t="str">
        <f t="shared" ref="D144:D190" si="171">"2026"</f>
        <v>2026</v>
      </c>
      <c r="E144" s="2" t="str">
        <f t="shared" ref="E144:E190" si="172">"夏"</f>
        <v>夏</v>
      </c>
      <c r="F144" s="2" t="str">
        <f t="shared" ref="F144:F190" si="173">"一般毛衣(SWEATER)(KW)"</f>
        <v>一般毛衣(SWEATER)(KW)</v>
      </c>
      <c r="H144" s="2" t="str">
        <f t="shared" ref="H144:H190" si="174">"PRKWG2303M"</f>
        <v>PRKWG2303M</v>
      </c>
      <c r="I144" s="2" t="str">
        <f t="shared" si="163"/>
        <v>(99)MIX99</v>
      </c>
      <c r="J144" s="2" t="str">
        <f>"170"</f>
        <v>170</v>
      </c>
      <c r="K144" s="2" t="str">
        <f>"PRKWG2303M99170"</f>
        <v>PRKWG2303M99170</v>
      </c>
      <c r="L144" s="2" t="str">
        <f t="shared" ref="L144:L190" si="175">"899"</f>
        <v>899</v>
      </c>
      <c r="M144" s="1">
        <v>1</v>
      </c>
      <c r="N144" s="1">
        <v>899</v>
      </c>
      <c r="O144" s="1">
        <v>1</v>
      </c>
      <c r="P144" s="1">
        <v>899</v>
      </c>
      <c r="Q144" s="1">
        <v>0</v>
      </c>
      <c r="R144" s="1">
        <v>0</v>
      </c>
      <c r="S144" s="1">
        <v>0</v>
      </c>
      <c r="T144" s="1">
        <v>0</v>
      </c>
      <c r="U144" s="1">
        <v>1</v>
      </c>
      <c r="V144" s="1">
        <v>899</v>
      </c>
    </row>
    <row r="145" spans="1:22" x14ac:dyDescent="0.15">
      <c r="A145" s="2" t="str">
        <f t="shared" ref="A145:A147" si="176">"C9ZA"</f>
        <v>C9ZA</v>
      </c>
      <c r="B145" s="2" t="str">
        <f t="shared" ref="B145:B147" si="177">"上海支社"</f>
        <v>上海支社</v>
      </c>
      <c r="C145" s="2" t="str">
        <f t="shared" ref="C145:C147" si="178">"PR 上海巴黎春天五角场店(C9ZA)"</f>
        <v>PR 上海巴黎春天五角场店(C9ZA)</v>
      </c>
      <c r="D145" s="2" t="str">
        <f t="shared" si="171"/>
        <v>2026</v>
      </c>
      <c r="E145" s="2" t="str">
        <f t="shared" si="172"/>
        <v>夏</v>
      </c>
      <c r="F145" s="2" t="str">
        <f t="shared" si="173"/>
        <v>一般毛衣(SWEATER)(KW)</v>
      </c>
      <c r="H145" s="2" t="str">
        <f t="shared" si="174"/>
        <v>PRKWG2303M</v>
      </c>
      <c r="I145" s="2" t="str">
        <f t="shared" si="163"/>
        <v>(99)MIX99</v>
      </c>
      <c r="J145" s="2" t="str">
        <f>"160"</f>
        <v>160</v>
      </c>
      <c r="K145" s="2" t="str">
        <f>"PRKWG2303M99160"</f>
        <v>PRKWG2303M99160</v>
      </c>
      <c r="L145" s="2" t="str">
        <f t="shared" si="175"/>
        <v>899</v>
      </c>
      <c r="M145" s="1">
        <v>1</v>
      </c>
      <c r="N145" s="1">
        <v>899</v>
      </c>
      <c r="O145" s="1">
        <v>1</v>
      </c>
      <c r="P145" s="1">
        <v>899</v>
      </c>
      <c r="Q145" s="1">
        <v>0</v>
      </c>
      <c r="R145" s="1">
        <v>0</v>
      </c>
      <c r="S145" s="1">
        <v>0</v>
      </c>
      <c r="T145" s="1">
        <v>0</v>
      </c>
      <c r="U145" s="1">
        <v>1</v>
      </c>
      <c r="V145" s="1">
        <v>899</v>
      </c>
    </row>
    <row r="146" spans="1:22" x14ac:dyDescent="0.15">
      <c r="A146" s="2" t="str">
        <f t="shared" si="176"/>
        <v>C9ZA</v>
      </c>
      <c r="B146" s="2" t="str">
        <f t="shared" si="177"/>
        <v>上海支社</v>
      </c>
      <c r="C146" s="2" t="str">
        <f t="shared" si="178"/>
        <v>PR 上海巴黎春天五角场店(C9ZA)</v>
      </c>
      <c r="D146" s="2" t="str">
        <f t="shared" si="171"/>
        <v>2026</v>
      </c>
      <c r="E146" s="2" t="str">
        <f t="shared" si="172"/>
        <v>夏</v>
      </c>
      <c r="F146" s="2" t="str">
        <f t="shared" si="173"/>
        <v>一般毛衣(SWEATER)(KW)</v>
      </c>
      <c r="H146" s="2" t="str">
        <f t="shared" si="174"/>
        <v>PRKWG2303M</v>
      </c>
      <c r="I146" s="2" t="str">
        <f t="shared" si="163"/>
        <v>(99)MIX99</v>
      </c>
      <c r="J146" s="2" t="str">
        <f>"165"</f>
        <v>165</v>
      </c>
      <c r="K146" s="2" t="str">
        <f>"PRKWG2303M99165"</f>
        <v>PRKWG2303M99165</v>
      </c>
      <c r="L146" s="2" t="str">
        <f t="shared" si="175"/>
        <v>899</v>
      </c>
      <c r="M146" s="1">
        <v>1</v>
      </c>
      <c r="N146" s="1">
        <v>899</v>
      </c>
      <c r="O146" s="1">
        <v>1</v>
      </c>
      <c r="P146" s="1">
        <v>899</v>
      </c>
      <c r="Q146" s="1">
        <v>0</v>
      </c>
      <c r="R146" s="1">
        <v>0</v>
      </c>
      <c r="S146" s="1">
        <v>0</v>
      </c>
      <c r="T146" s="1">
        <v>0</v>
      </c>
      <c r="U146" s="1">
        <v>1</v>
      </c>
      <c r="V146" s="1">
        <v>899</v>
      </c>
    </row>
    <row r="147" spans="1:22" x14ac:dyDescent="0.15">
      <c r="A147" s="2" t="str">
        <f t="shared" si="176"/>
        <v>C9ZA</v>
      </c>
      <c r="B147" s="2" t="str">
        <f t="shared" si="177"/>
        <v>上海支社</v>
      </c>
      <c r="C147" s="2" t="str">
        <f t="shared" si="178"/>
        <v>PR 上海巴黎春天五角场店(C9ZA)</v>
      </c>
      <c r="D147" s="2" t="str">
        <f t="shared" si="171"/>
        <v>2026</v>
      </c>
      <c r="E147" s="2" t="str">
        <f t="shared" si="172"/>
        <v>夏</v>
      </c>
      <c r="F147" s="2" t="str">
        <f t="shared" si="173"/>
        <v>一般毛衣(SWEATER)(KW)</v>
      </c>
      <c r="H147" s="2" t="str">
        <f t="shared" si="174"/>
        <v>PRKWG2303M</v>
      </c>
      <c r="I147" s="2" t="str">
        <f t="shared" si="163"/>
        <v>(99)MIX99</v>
      </c>
      <c r="J147" s="2" t="str">
        <f>"170"</f>
        <v>170</v>
      </c>
      <c r="K147" s="2" t="str">
        <f>"PRKWG2303M99170"</f>
        <v>PRKWG2303M99170</v>
      </c>
      <c r="L147" s="2" t="str">
        <f t="shared" si="175"/>
        <v>899</v>
      </c>
      <c r="M147" s="1">
        <v>1</v>
      </c>
      <c r="N147" s="1">
        <v>899</v>
      </c>
      <c r="O147" s="1">
        <v>1</v>
      </c>
      <c r="P147" s="1">
        <v>899</v>
      </c>
      <c r="Q147" s="1">
        <v>0</v>
      </c>
      <c r="R147" s="1">
        <v>0</v>
      </c>
      <c r="S147" s="1">
        <v>0</v>
      </c>
      <c r="T147" s="1">
        <v>0</v>
      </c>
      <c r="U147" s="1">
        <v>1</v>
      </c>
      <c r="V147" s="1">
        <v>899</v>
      </c>
    </row>
    <row r="148" spans="1:22" x14ac:dyDescent="0.15">
      <c r="A148" s="2" t="str">
        <f t="shared" ref="A148:A150" si="179">"CA8K"</f>
        <v>CA8K</v>
      </c>
      <c r="B148" s="2" t="str">
        <f t="shared" ref="B148:B150" si="180">"重庆支社"</f>
        <v>重庆支社</v>
      </c>
      <c r="C148" s="2" t="str">
        <f t="shared" ref="C148:C150" si="181">"PR 重庆大坪商都(CA8K)"</f>
        <v>PR 重庆大坪商都(CA8K)</v>
      </c>
      <c r="D148" s="2" t="str">
        <f t="shared" si="171"/>
        <v>2026</v>
      </c>
      <c r="E148" s="2" t="str">
        <f t="shared" si="172"/>
        <v>夏</v>
      </c>
      <c r="F148" s="2" t="str">
        <f t="shared" si="173"/>
        <v>一般毛衣(SWEATER)(KW)</v>
      </c>
      <c r="H148" s="2" t="str">
        <f t="shared" si="174"/>
        <v>PRKWG2303M</v>
      </c>
      <c r="I148" s="2" t="str">
        <f t="shared" ref="I148:I155" si="182">"(99)MIX99"</f>
        <v>(99)MIX99</v>
      </c>
      <c r="J148" s="2" t="str">
        <f t="shared" ref="J148:J153" si="183">"160"</f>
        <v>160</v>
      </c>
      <c r="K148" s="2" t="str">
        <f t="shared" ref="K148:K153" si="184">"PRKWG2303M99160"</f>
        <v>PRKWG2303M99160</v>
      </c>
      <c r="L148" s="2" t="str">
        <f t="shared" si="175"/>
        <v>899</v>
      </c>
      <c r="M148" s="1">
        <v>2</v>
      </c>
      <c r="N148" s="1">
        <v>1798</v>
      </c>
      <c r="O148" s="1">
        <v>2</v>
      </c>
      <c r="P148" s="1">
        <v>1798</v>
      </c>
      <c r="Q148" s="1">
        <v>0</v>
      </c>
      <c r="R148" s="1">
        <v>0</v>
      </c>
      <c r="S148" s="1">
        <v>0</v>
      </c>
      <c r="T148" s="1">
        <v>0</v>
      </c>
      <c r="U148" s="1">
        <v>2</v>
      </c>
      <c r="V148" s="1">
        <v>1798</v>
      </c>
    </row>
    <row r="149" spans="1:22" x14ac:dyDescent="0.15">
      <c r="A149" s="2" t="str">
        <f t="shared" si="179"/>
        <v>CA8K</v>
      </c>
      <c r="B149" s="2" t="str">
        <f t="shared" si="180"/>
        <v>重庆支社</v>
      </c>
      <c r="C149" s="2" t="str">
        <f t="shared" si="181"/>
        <v>PR 重庆大坪商都(CA8K)</v>
      </c>
      <c r="D149" s="2" t="str">
        <f t="shared" si="171"/>
        <v>2026</v>
      </c>
      <c r="E149" s="2" t="str">
        <f t="shared" si="172"/>
        <v>夏</v>
      </c>
      <c r="F149" s="2" t="str">
        <f t="shared" si="173"/>
        <v>一般毛衣(SWEATER)(KW)</v>
      </c>
      <c r="H149" s="2" t="str">
        <f t="shared" si="174"/>
        <v>PRKWG2303M</v>
      </c>
      <c r="I149" s="2" t="str">
        <f t="shared" si="182"/>
        <v>(99)MIX99</v>
      </c>
      <c r="J149" s="2" t="str">
        <f t="shared" ref="J149:J154" si="185">"165"</f>
        <v>165</v>
      </c>
      <c r="K149" s="2" t="str">
        <f t="shared" ref="K149:K154" si="186">"PRKWG2303M99165"</f>
        <v>PRKWG2303M99165</v>
      </c>
      <c r="L149" s="2" t="str">
        <f t="shared" si="175"/>
        <v>899</v>
      </c>
      <c r="M149" s="1">
        <v>2</v>
      </c>
      <c r="N149" s="1">
        <v>1798</v>
      </c>
      <c r="O149" s="1">
        <v>2</v>
      </c>
      <c r="P149" s="1">
        <v>1798</v>
      </c>
      <c r="Q149" s="1">
        <v>0</v>
      </c>
      <c r="R149" s="1">
        <v>0</v>
      </c>
      <c r="S149" s="1">
        <v>0</v>
      </c>
      <c r="T149" s="1">
        <v>0</v>
      </c>
      <c r="U149" s="1">
        <v>2</v>
      </c>
      <c r="V149" s="1">
        <v>1798</v>
      </c>
    </row>
    <row r="150" spans="1:22" x14ac:dyDescent="0.15">
      <c r="A150" s="2" t="str">
        <f t="shared" si="179"/>
        <v>CA8K</v>
      </c>
      <c r="B150" s="2" t="str">
        <f t="shared" si="180"/>
        <v>重庆支社</v>
      </c>
      <c r="C150" s="2" t="str">
        <f t="shared" si="181"/>
        <v>PR 重庆大坪商都(CA8K)</v>
      </c>
      <c r="D150" s="2" t="str">
        <f t="shared" si="171"/>
        <v>2026</v>
      </c>
      <c r="E150" s="2" t="str">
        <f t="shared" si="172"/>
        <v>夏</v>
      </c>
      <c r="F150" s="2" t="str">
        <f t="shared" si="173"/>
        <v>一般毛衣(SWEATER)(KW)</v>
      </c>
      <c r="H150" s="2" t="str">
        <f t="shared" si="174"/>
        <v>PRKWG2303M</v>
      </c>
      <c r="I150" s="2" t="str">
        <f t="shared" si="182"/>
        <v>(99)MIX99</v>
      </c>
      <c r="J150" s="2" t="str">
        <f>"170"</f>
        <v>170</v>
      </c>
      <c r="K150" s="2" t="str">
        <f>"PRKWG2303M99170"</f>
        <v>PRKWG2303M99170</v>
      </c>
      <c r="L150" s="2" t="str">
        <f t="shared" si="175"/>
        <v>899</v>
      </c>
      <c r="M150" s="1">
        <v>2</v>
      </c>
      <c r="N150" s="1">
        <v>1798</v>
      </c>
      <c r="O150" s="1">
        <v>2</v>
      </c>
      <c r="P150" s="1">
        <v>1798</v>
      </c>
      <c r="Q150" s="1">
        <v>0</v>
      </c>
      <c r="R150" s="1">
        <v>0</v>
      </c>
      <c r="S150" s="1">
        <v>0</v>
      </c>
      <c r="T150" s="1">
        <v>0</v>
      </c>
      <c r="U150" s="1">
        <v>2</v>
      </c>
      <c r="V150" s="1">
        <v>1798</v>
      </c>
    </row>
    <row r="151" spans="1:22" x14ac:dyDescent="0.15">
      <c r="A151" s="2" t="str">
        <f>"CAUD"</f>
        <v>CAUD</v>
      </c>
      <c r="B151" s="2" t="str">
        <f>"华北支社"</f>
        <v>华北支社</v>
      </c>
      <c r="C151" s="2" t="str">
        <f>"PR 沧州华北商厦(CAUD)"</f>
        <v>PR 沧州华北商厦(CAUD)</v>
      </c>
      <c r="D151" s="2" t="str">
        <f t="shared" si="171"/>
        <v>2026</v>
      </c>
      <c r="E151" s="2" t="str">
        <f t="shared" si="172"/>
        <v>夏</v>
      </c>
      <c r="F151" s="2" t="str">
        <f t="shared" si="173"/>
        <v>一般毛衣(SWEATER)(KW)</v>
      </c>
      <c r="H151" s="2" t="str">
        <f t="shared" si="174"/>
        <v>PRKWG2303M</v>
      </c>
      <c r="I151" s="2" t="str">
        <f t="shared" si="182"/>
        <v>(99)MIX99</v>
      </c>
      <c r="J151" s="2" t="str">
        <f t="shared" si="183"/>
        <v>160</v>
      </c>
      <c r="K151" s="2" t="str">
        <f t="shared" si="184"/>
        <v>PRKWG2303M99160</v>
      </c>
      <c r="L151" s="2" t="str">
        <f t="shared" si="175"/>
        <v>899</v>
      </c>
      <c r="M151" s="1">
        <v>3</v>
      </c>
      <c r="N151" s="1">
        <v>2697</v>
      </c>
      <c r="O151" s="1">
        <v>3</v>
      </c>
      <c r="P151" s="1">
        <v>2697</v>
      </c>
      <c r="Q151" s="1">
        <v>0</v>
      </c>
      <c r="R151" s="1">
        <v>0</v>
      </c>
      <c r="S151" s="1">
        <v>0</v>
      </c>
      <c r="T151" s="1">
        <v>0</v>
      </c>
      <c r="U151" s="1">
        <v>3</v>
      </c>
      <c r="V151" s="1">
        <v>2697</v>
      </c>
    </row>
    <row r="152" spans="1:22" x14ac:dyDescent="0.15">
      <c r="A152" s="2" t="str">
        <f>"CAUD"</f>
        <v>CAUD</v>
      </c>
      <c r="B152" s="2" t="str">
        <f>"华北支社"</f>
        <v>华北支社</v>
      </c>
      <c r="C152" s="2" t="str">
        <f>"PR 沧州华北商厦(CAUD)"</f>
        <v>PR 沧州华北商厦(CAUD)</v>
      </c>
      <c r="D152" s="2" t="str">
        <f t="shared" si="171"/>
        <v>2026</v>
      </c>
      <c r="E152" s="2" t="str">
        <f t="shared" si="172"/>
        <v>夏</v>
      </c>
      <c r="F152" s="2" t="str">
        <f t="shared" si="173"/>
        <v>一般毛衣(SWEATER)(KW)</v>
      </c>
      <c r="H152" s="2" t="str">
        <f t="shared" si="174"/>
        <v>PRKWG2303M</v>
      </c>
      <c r="I152" s="2" t="str">
        <f t="shared" si="182"/>
        <v>(99)MIX99</v>
      </c>
      <c r="J152" s="2" t="str">
        <f t="shared" si="185"/>
        <v>165</v>
      </c>
      <c r="K152" s="2" t="str">
        <f t="shared" si="186"/>
        <v>PRKWG2303M99165</v>
      </c>
      <c r="L152" s="2" t="str">
        <f t="shared" si="175"/>
        <v>899</v>
      </c>
      <c r="M152" s="1">
        <v>2</v>
      </c>
      <c r="N152" s="1">
        <v>1798</v>
      </c>
      <c r="O152" s="1">
        <v>2</v>
      </c>
      <c r="P152" s="1">
        <v>1798</v>
      </c>
      <c r="Q152" s="1">
        <v>0</v>
      </c>
      <c r="R152" s="1">
        <v>0</v>
      </c>
      <c r="S152" s="1">
        <v>0</v>
      </c>
      <c r="T152" s="1">
        <v>0</v>
      </c>
      <c r="U152" s="1">
        <v>2</v>
      </c>
      <c r="V152" s="1">
        <v>1798</v>
      </c>
    </row>
    <row r="153" spans="1:22" x14ac:dyDescent="0.15">
      <c r="A153" s="2" t="str">
        <f t="shared" ref="A153:A155" si="187">"CAYP"</f>
        <v>CAYP</v>
      </c>
      <c r="B153" s="2" t="str">
        <f t="shared" ref="B153:B158" si="188">"东北支社"</f>
        <v>东北支社</v>
      </c>
      <c r="C153" s="2" t="str">
        <f t="shared" ref="C153:C155" si="189">"PR 沈阳百盛(CAYP)"</f>
        <v>PR 沈阳百盛(CAYP)</v>
      </c>
      <c r="D153" s="2" t="str">
        <f t="shared" si="171"/>
        <v>2026</v>
      </c>
      <c r="E153" s="2" t="str">
        <f t="shared" si="172"/>
        <v>夏</v>
      </c>
      <c r="F153" s="2" t="str">
        <f t="shared" si="173"/>
        <v>一般毛衣(SWEATER)(KW)</v>
      </c>
      <c r="H153" s="2" t="str">
        <f t="shared" si="174"/>
        <v>PRKWG2303M</v>
      </c>
      <c r="I153" s="2" t="str">
        <f t="shared" si="182"/>
        <v>(99)MIX99</v>
      </c>
      <c r="J153" s="2" t="str">
        <f t="shared" si="183"/>
        <v>160</v>
      </c>
      <c r="K153" s="2" t="str">
        <f t="shared" si="184"/>
        <v>PRKWG2303M99160</v>
      </c>
      <c r="L153" s="2" t="str">
        <f t="shared" si="175"/>
        <v>899</v>
      </c>
      <c r="M153" s="1">
        <v>3</v>
      </c>
      <c r="N153" s="1">
        <v>2697</v>
      </c>
      <c r="O153" s="1">
        <v>3</v>
      </c>
      <c r="P153" s="1">
        <v>2697</v>
      </c>
      <c r="Q153" s="1">
        <v>0</v>
      </c>
      <c r="R153" s="1">
        <v>0</v>
      </c>
      <c r="S153" s="1">
        <v>0</v>
      </c>
      <c r="T153" s="1">
        <v>0</v>
      </c>
      <c r="U153" s="1">
        <v>3</v>
      </c>
      <c r="V153" s="1">
        <v>2697</v>
      </c>
    </row>
    <row r="154" spans="1:22" x14ac:dyDescent="0.15">
      <c r="A154" s="2" t="str">
        <f t="shared" si="187"/>
        <v>CAYP</v>
      </c>
      <c r="B154" s="2" t="str">
        <f t="shared" si="188"/>
        <v>东北支社</v>
      </c>
      <c r="C154" s="2" t="str">
        <f t="shared" si="189"/>
        <v>PR 沈阳百盛(CAYP)</v>
      </c>
      <c r="D154" s="2" t="str">
        <f t="shared" si="171"/>
        <v>2026</v>
      </c>
      <c r="E154" s="2" t="str">
        <f t="shared" si="172"/>
        <v>夏</v>
      </c>
      <c r="F154" s="2" t="str">
        <f t="shared" si="173"/>
        <v>一般毛衣(SWEATER)(KW)</v>
      </c>
      <c r="H154" s="2" t="str">
        <f t="shared" si="174"/>
        <v>PRKWG2303M</v>
      </c>
      <c r="I154" s="2" t="str">
        <f t="shared" si="182"/>
        <v>(99)MIX99</v>
      </c>
      <c r="J154" s="2" t="str">
        <f t="shared" si="185"/>
        <v>165</v>
      </c>
      <c r="K154" s="2" t="str">
        <f t="shared" si="186"/>
        <v>PRKWG2303M99165</v>
      </c>
      <c r="L154" s="2" t="str">
        <f t="shared" si="175"/>
        <v>899</v>
      </c>
      <c r="M154" s="1">
        <v>1</v>
      </c>
      <c r="N154" s="1">
        <v>899</v>
      </c>
      <c r="O154" s="1">
        <v>1</v>
      </c>
      <c r="P154" s="1">
        <v>899</v>
      </c>
      <c r="Q154" s="1">
        <v>0</v>
      </c>
      <c r="R154" s="1">
        <v>0</v>
      </c>
      <c r="S154" s="1">
        <v>0</v>
      </c>
      <c r="T154" s="1">
        <v>0</v>
      </c>
      <c r="U154" s="1">
        <v>1</v>
      </c>
      <c r="V154" s="1">
        <v>899</v>
      </c>
    </row>
    <row r="155" spans="1:22" x14ac:dyDescent="0.15">
      <c r="A155" s="2" t="str">
        <f t="shared" si="187"/>
        <v>CAYP</v>
      </c>
      <c r="B155" s="2" t="str">
        <f t="shared" si="188"/>
        <v>东北支社</v>
      </c>
      <c r="C155" s="2" t="str">
        <f t="shared" si="189"/>
        <v>PR 沈阳百盛(CAYP)</v>
      </c>
      <c r="D155" s="2" t="str">
        <f t="shared" si="171"/>
        <v>2026</v>
      </c>
      <c r="E155" s="2" t="str">
        <f t="shared" si="172"/>
        <v>夏</v>
      </c>
      <c r="F155" s="2" t="str">
        <f t="shared" si="173"/>
        <v>一般毛衣(SWEATER)(KW)</v>
      </c>
      <c r="H155" s="2" t="str">
        <f t="shared" si="174"/>
        <v>PRKWG2303M</v>
      </c>
      <c r="I155" s="2" t="str">
        <f t="shared" si="182"/>
        <v>(99)MIX99</v>
      </c>
      <c r="J155" s="2" t="str">
        <f>"170"</f>
        <v>170</v>
      </c>
      <c r="K155" s="2" t="str">
        <f>"PRKWG2303M99170"</f>
        <v>PRKWG2303M99170</v>
      </c>
      <c r="L155" s="2" t="str">
        <f t="shared" si="175"/>
        <v>899</v>
      </c>
      <c r="M155" s="1">
        <v>1</v>
      </c>
      <c r="N155" s="1">
        <v>899</v>
      </c>
      <c r="O155" s="1">
        <v>1</v>
      </c>
      <c r="P155" s="1">
        <v>899</v>
      </c>
      <c r="Q155" s="1">
        <v>0</v>
      </c>
      <c r="R155" s="1">
        <v>0</v>
      </c>
      <c r="S155" s="1">
        <v>0</v>
      </c>
      <c r="T155" s="1">
        <v>0</v>
      </c>
      <c r="U155" s="1">
        <v>1</v>
      </c>
      <c r="V155" s="1">
        <v>899</v>
      </c>
    </row>
    <row r="156" spans="1:22" x14ac:dyDescent="0.15">
      <c r="A156" s="2" t="str">
        <f t="shared" ref="A156:A158" si="190">"CAYR"</f>
        <v>CAYR</v>
      </c>
      <c r="B156" s="2" t="str">
        <f t="shared" si="188"/>
        <v>东北支社</v>
      </c>
      <c r="C156" s="2" t="str">
        <f t="shared" ref="C156:C158" si="191">"PR 沈阳中兴(CAYR)"</f>
        <v>PR 沈阳中兴(CAYR)</v>
      </c>
      <c r="D156" s="2" t="str">
        <f t="shared" si="171"/>
        <v>2026</v>
      </c>
      <c r="E156" s="2" t="str">
        <f t="shared" si="172"/>
        <v>夏</v>
      </c>
      <c r="F156" s="2" t="str">
        <f t="shared" si="173"/>
        <v>一般毛衣(SWEATER)(KW)</v>
      </c>
      <c r="H156" s="2" t="str">
        <f t="shared" si="174"/>
        <v>PRKWG2303M</v>
      </c>
      <c r="I156" s="2" t="str">
        <f t="shared" ref="I156:I158" si="192">"(99)MIX99"</f>
        <v>(99)MIX99</v>
      </c>
      <c r="J156" s="2" t="str">
        <f t="shared" ref="J156:J159" si="193">"160"</f>
        <v>160</v>
      </c>
      <c r="K156" s="2" t="str">
        <f>"PRKWG2303M99160"</f>
        <v>PRKWG2303M99160</v>
      </c>
      <c r="L156" s="2" t="str">
        <f t="shared" si="175"/>
        <v>899</v>
      </c>
      <c r="M156" s="1">
        <v>2</v>
      </c>
      <c r="N156" s="1">
        <v>1798</v>
      </c>
      <c r="O156" s="1">
        <v>2</v>
      </c>
      <c r="P156" s="1">
        <v>1798</v>
      </c>
      <c r="Q156" s="1">
        <v>0</v>
      </c>
      <c r="R156" s="1">
        <v>0</v>
      </c>
      <c r="S156" s="1">
        <v>1</v>
      </c>
      <c r="T156" s="1">
        <v>899</v>
      </c>
      <c r="U156" s="1">
        <v>3</v>
      </c>
      <c r="V156" s="1">
        <v>2697</v>
      </c>
    </row>
    <row r="157" spans="1:22" x14ac:dyDescent="0.15">
      <c r="A157" s="2" t="str">
        <f t="shared" si="190"/>
        <v>CAYR</v>
      </c>
      <c r="B157" s="2" t="str">
        <f t="shared" si="188"/>
        <v>东北支社</v>
      </c>
      <c r="C157" s="2" t="str">
        <f t="shared" si="191"/>
        <v>PR 沈阳中兴(CAYR)</v>
      </c>
      <c r="D157" s="2" t="str">
        <f t="shared" si="171"/>
        <v>2026</v>
      </c>
      <c r="E157" s="2" t="str">
        <f t="shared" si="172"/>
        <v>夏</v>
      </c>
      <c r="F157" s="2" t="str">
        <f t="shared" si="173"/>
        <v>一般毛衣(SWEATER)(KW)</v>
      </c>
      <c r="H157" s="2" t="str">
        <f t="shared" si="174"/>
        <v>PRKWG2303M</v>
      </c>
      <c r="I157" s="2" t="str">
        <f t="shared" si="192"/>
        <v>(99)MIX99</v>
      </c>
      <c r="J157" s="2" t="str">
        <f t="shared" ref="J157:J160" si="194">"165"</f>
        <v>165</v>
      </c>
      <c r="K157" s="2" t="str">
        <f>"PRKWG2303M99165"</f>
        <v>PRKWG2303M99165</v>
      </c>
      <c r="L157" s="2" t="str">
        <f t="shared" si="175"/>
        <v>899</v>
      </c>
      <c r="M157" s="1">
        <v>4</v>
      </c>
      <c r="N157" s="1">
        <v>3596</v>
      </c>
      <c r="O157" s="1">
        <v>4</v>
      </c>
      <c r="P157" s="1">
        <v>3596</v>
      </c>
      <c r="Q157" s="1">
        <v>0</v>
      </c>
      <c r="R157" s="1">
        <v>0</v>
      </c>
      <c r="S157" s="1">
        <v>0</v>
      </c>
      <c r="T157" s="1">
        <v>0</v>
      </c>
      <c r="U157" s="1">
        <v>4</v>
      </c>
      <c r="V157" s="1">
        <v>3596</v>
      </c>
    </row>
    <row r="158" spans="1:22" x14ac:dyDescent="0.15">
      <c r="A158" s="2" t="str">
        <f t="shared" si="190"/>
        <v>CAYR</v>
      </c>
      <c r="B158" s="2" t="str">
        <f t="shared" si="188"/>
        <v>东北支社</v>
      </c>
      <c r="C158" s="2" t="str">
        <f t="shared" si="191"/>
        <v>PR 沈阳中兴(CAYR)</v>
      </c>
      <c r="D158" s="2" t="str">
        <f t="shared" si="171"/>
        <v>2026</v>
      </c>
      <c r="E158" s="2" t="str">
        <f t="shared" si="172"/>
        <v>夏</v>
      </c>
      <c r="F158" s="2" t="str">
        <f t="shared" si="173"/>
        <v>一般毛衣(SWEATER)(KW)</v>
      </c>
      <c r="H158" s="2" t="str">
        <f t="shared" si="174"/>
        <v>PRKWG2303M</v>
      </c>
      <c r="I158" s="2" t="str">
        <f t="shared" si="192"/>
        <v>(99)MIX99</v>
      </c>
      <c r="J158" s="2" t="str">
        <f>"170"</f>
        <v>170</v>
      </c>
      <c r="K158" s="2" t="str">
        <f>"PRKWG2303M99170"</f>
        <v>PRKWG2303M99170</v>
      </c>
      <c r="L158" s="2" t="str">
        <f t="shared" si="175"/>
        <v>899</v>
      </c>
      <c r="M158" s="1">
        <v>2</v>
      </c>
      <c r="N158" s="1">
        <v>1798</v>
      </c>
      <c r="O158" s="1">
        <v>2</v>
      </c>
      <c r="P158" s="1">
        <v>1798</v>
      </c>
      <c r="Q158" s="1">
        <v>0</v>
      </c>
      <c r="R158" s="1">
        <v>0</v>
      </c>
      <c r="S158" s="1">
        <v>0</v>
      </c>
      <c r="T158" s="1">
        <v>0</v>
      </c>
      <c r="U158" s="1">
        <v>2</v>
      </c>
      <c r="V158" s="1">
        <v>1798</v>
      </c>
    </row>
    <row r="159" spans="1:22" x14ac:dyDescent="0.15">
      <c r="A159" s="2" t="str">
        <f t="shared" ref="A159:A161" si="195">"CB6Z"</f>
        <v>CB6Z</v>
      </c>
      <c r="B159" s="2" t="str">
        <f t="shared" ref="B159:B161" si="196">"西北支社"</f>
        <v>西北支社</v>
      </c>
      <c r="C159" s="2" t="str">
        <f t="shared" ref="C159:C161" si="197">"PR 西安开元西稍门店(CB6Z)"</f>
        <v>PR 西安开元西稍门店(CB6Z)</v>
      </c>
      <c r="D159" s="2" t="str">
        <f t="shared" si="171"/>
        <v>2026</v>
      </c>
      <c r="E159" s="2" t="str">
        <f t="shared" si="172"/>
        <v>夏</v>
      </c>
      <c r="F159" s="2" t="str">
        <f t="shared" si="173"/>
        <v>一般毛衣(SWEATER)(KW)</v>
      </c>
      <c r="H159" s="2" t="str">
        <f t="shared" si="174"/>
        <v>PRKWG2303M</v>
      </c>
      <c r="I159" s="2" t="str">
        <f t="shared" ref="I159:I163" si="198">"(99)MIX99"</f>
        <v>(99)MIX99</v>
      </c>
      <c r="J159" s="2" t="str">
        <f t="shared" si="193"/>
        <v>160</v>
      </c>
      <c r="K159" s="2" t="str">
        <f>"PRKWG2303M99160"</f>
        <v>PRKWG2303M99160</v>
      </c>
      <c r="L159" s="2" t="str">
        <f t="shared" si="175"/>
        <v>899</v>
      </c>
      <c r="M159" s="1">
        <v>5</v>
      </c>
      <c r="N159" s="1">
        <v>4495</v>
      </c>
      <c r="O159" s="1">
        <v>5</v>
      </c>
      <c r="P159" s="1">
        <v>4495</v>
      </c>
      <c r="Q159" s="1">
        <v>0</v>
      </c>
      <c r="R159" s="1">
        <v>0</v>
      </c>
      <c r="S159" s="1">
        <v>0</v>
      </c>
      <c r="T159" s="1">
        <v>0</v>
      </c>
      <c r="U159" s="1">
        <v>5</v>
      </c>
      <c r="V159" s="1">
        <v>4495</v>
      </c>
    </row>
    <row r="160" spans="1:22" x14ac:dyDescent="0.15">
      <c r="A160" s="2" t="str">
        <f t="shared" si="195"/>
        <v>CB6Z</v>
      </c>
      <c r="B160" s="2" t="str">
        <f t="shared" si="196"/>
        <v>西北支社</v>
      </c>
      <c r="C160" s="2" t="str">
        <f t="shared" si="197"/>
        <v>PR 西安开元西稍门店(CB6Z)</v>
      </c>
      <c r="D160" s="2" t="str">
        <f t="shared" si="171"/>
        <v>2026</v>
      </c>
      <c r="E160" s="2" t="str">
        <f t="shared" si="172"/>
        <v>夏</v>
      </c>
      <c r="F160" s="2" t="str">
        <f t="shared" si="173"/>
        <v>一般毛衣(SWEATER)(KW)</v>
      </c>
      <c r="H160" s="2" t="str">
        <f t="shared" si="174"/>
        <v>PRKWG2303M</v>
      </c>
      <c r="I160" s="2" t="str">
        <f t="shared" si="198"/>
        <v>(99)MIX99</v>
      </c>
      <c r="J160" s="2" t="str">
        <f t="shared" si="194"/>
        <v>165</v>
      </c>
      <c r="K160" s="2" t="str">
        <f>"PRKWG2303M99165"</f>
        <v>PRKWG2303M99165</v>
      </c>
      <c r="L160" s="2" t="str">
        <f t="shared" si="175"/>
        <v>899</v>
      </c>
      <c r="M160" s="1">
        <v>-1</v>
      </c>
      <c r="N160" s="1">
        <v>-899</v>
      </c>
      <c r="O160" s="1">
        <v>-1</v>
      </c>
      <c r="P160" s="1">
        <v>-899</v>
      </c>
      <c r="Q160" s="1">
        <v>0</v>
      </c>
      <c r="R160" s="1">
        <v>0</v>
      </c>
      <c r="S160" s="1">
        <v>0</v>
      </c>
      <c r="T160" s="1">
        <v>0</v>
      </c>
      <c r="U160" s="1">
        <v>-1</v>
      </c>
      <c r="V160" s="1">
        <v>-899</v>
      </c>
    </row>
    <row r="161" spans="1:22" x14ac:dyDescent="0.15">
      <c r="A161" s="2" t="str">
        <f t="shared" si="195"/>
        <v>CB6Z</v>
      </c>
      <c r="B161" s="2" t="str">
        <f t="shared" si="196"/>
        <v>西北支社</v>
      </c>
      <c r="C161" s="2" t="str">
        <f t="shared" si="197"/>
        <v>PR 西安开元西稍门店(CB6Z)</v>
      </c>
      <c r="D161" s="2" t="str">
        <f t="shared" si="171"/>
        <v>2026</v>
      </c>
      <c r="E161" s="2" t="str">
        <f t="shared" si="172"/>
        <v>夏</v>
      </c>
      <c r="F161" s="2" t="str">
        <f t="shared" si="173"/>
        <v>一般毛衣(SWEATER)(KW)</v>
      </c>
      <c r="H161" s="2" t="str">
        <f t="shared" si="174"/>
        <v>PRKWG2303M</v>
      </c>
      <c r="I161" s="2" t="str">
        <f t="shared" si="198"/>
        <v>(99)MIX99</v>
      </c>
      <c r="J161" s="2" t="str">
        <f>"170"</f>
        <v>170</v>
      </c>
      <c r="K161" s="2" t="str">
        <f>"PRKWG2303M99170"</f>
        <v>PRKWG2303M99170</v>
      </c>
      <c r="L161" s="2" t="str">
        <f t="shared" si="175"/>
        <v>899</v>
      </c>
      <c r="M161" s="1">
        <v>2</v>
      </c>
      <c r="N161" s="1">
        <v>1798</v>
      </c>
      <c r="O161" s="1">
        <v>2</v>
      </c>
      <c r="P161" s="1">
        <v>1798</v>
      </c>
      <c r="Q161" s="1">
        <v>0</v>
      </c>
      <c r="R161" s="1">
        <v>0</v>
      </c>
      <c r="S161" s="1">
        <v>3</v>
      </c>
      <c r="T161" s="1">
        <v>2697</v>
      </c>
      <c r="U161" s="1">
        <v>5</v>
      </c>
      <c r="V161" s="1">
        <v>4495</v>
      </c>
    </row>
    <row r="162" spans="1:22" x14ac:dyDescent="0.15">
      <c r="A162" s="2" t="str">
        <f>"CB8F"</f>
        <v>CB8F</v>
      </c>
      <c r="B162" s="2" t="str">
        <f>"重庆支社"</f>
        <v>重庆支社</v>
      </c>
      <c r="C162" s="2" t="str">
        <f>"PR 遵义百盛(CB8F)"</f>
        <v>PR 遵义百盛(CB8F)</v>
      </c>
      <c r="D162" s="2" t="str">
        <f t="shared" si="171"/>
        <v>2026</v>
      </c>
      <c r="E162" s="2" t="str">
        <f t="shared" si="172"/>
        <v>夏</v>
      </c>
      <c r="F162" s="2" t="str">
        <f t="shared" si="173"/>
        <v>一般毛衣(SWEATER)(KW)</v>
      </c>
      <c r="H162" s="2" t="str">
        <f t="shared" si="174"/>
        <v>PRKWG2303M</v>
      </c>
      <c r="I162" s="2" t="str">
        <f t="shared" si="198"/>
        <v>(99)MIX99</v>
      </c>
      <c r="J162" s="2" t="str">
        <f>"160"</f>
        <v>160</v>
      </c>
      <c r="K162" s="2" t="str">
        <f>"PRKWG2303M99160"</f>
        <v>PRKWG2303M99160</v>
      </c>
      <c r="L162" s="2" t="str">
        <f t="shared" si="175"/>
        <v>899</v>
      </c>
      <c r="M162" s="1">
        <v>2</v>
      </c>
      <c r="N162" s="1">
        <v>1798</v>
      </c>
      <c r="O162" s="1">
        <v>2</v>
      </c>
      <c r="P162" s="1">
        <v>1798</v>
      </c>
      <c r="Q162" s="1">
        <v>0</v>
      </c>
      <c r="R162" s="1">
        <v>0</v>
      </c>
      <c r="S162" s="1">
        <v>0</v>
      </c>
      <c r="T162" s="1">
        <v>0</v>
      </c>
      <c r="U162" s="1">
        <v>2</v>
      </c>
      <c r="V162" s="1">
        <v>1798</v>
      </c>
    </row>
    <row r="163" spans="1:22" x14ac:dyDescent="0.15">
      <c r="A163" s="2" t="str">
        <f>"CB8F"</f>
        <v>CB8F</v>
      </c>
      <c r="B163" s="2" t="str">
        <f>"重庆支社"</f>
        <v>重庆支社</v>
      </c>
      <c r="C163" s="2" t="str">
        <f>"PR 遵义百盛(CB8F)"</f>
        <v>PR 遵义百盛(CB8F)</v>
      </c>
      <c r="D163" s="2" t="str">
        <f t="shared" si="171"/>
        <v>2026</v>
      </c>
      <c r="E163" s="2" t="str">
        <f t="shared" si="172"/>
        <v>夏</v>
      </c>
      <c r="F163" s="2" t="str">
        <f t="shared" si="173"/>
        <v>一般毛衣(SWEATER)(KW)</v>
      </c>
      <c r="H163" s="2" t="str">
        <f t="shared" si="174"/>
        <v>PRKWG2303M</v>
      </c>
      <c r="I163" s="2" t="str">
        <f t="shared" si="198"/>
        <v>(99)MIX99</v>
      </c>
      <c r="J163" s="2" t="str">
        <f>"165"</f>
        <v>165</v>
      </c>
      <c r="K163" s="2" t="str">
        <f>"PRKWG2303M99165"</f>
        <v>PRKWG2303M99165</v>
      </c>
      <c r="L163" s="2" t="str">
        <f t="shared" si="175"/>
        <v>899</v>
      </c>
      <c r="M163" s="1">
        <v>1</v>
      </c>
      <c r="N163" s="1">
        <v>899</v>
      </c>
      <c r="O163" s="1">
        <v>1</v>
      </c>
      <c r="P163" s="1">
        <v>899</v>
      </c>
      <c r="Q163" s="1">
        <v>0</v>
      </c>
      <c r="R163" s="1">
        <v>0</v>
      </c>
      <c r="S163" s="1">
        <v>0</v>
      </c>
      <c r="T163" s="1">
        <v>0</v>
      </c>
      <c r="U163" s="1">
        <v>1</v>
      </c>
      <c r="V163" s="1">
        <v>899</v>
      </c>
    </row>
    <row r="164" spans="1:22" x14ac:dyDescent="0.15">
      <c r="A164" s="2" t="str">
        <f t="shared" ref="A164:A167" si="199">"CBBH"</f>
        <v>CBBH</v>
      </c>
      <c r="B164" s="2" t="str">
        <f t="shared" ref="B164:B167" si="200">"西北支社"</f>
        <v>西北支社</v>
      </c>
      <c r="C164" s="2" t="str">
        <f t="shared" ref="C164:C167" si="201">"PR 西安赛格国际购物中心(CBBH)"</f>
        <v>PR 西安赛格国际购物中心(CBBH)</v>
      </c>
      <c r="D164" s="2" t="str">
        <f t="shared" si="171"/>
        <v>2026</v>
      </c>
      <c r="E164" s="2" t="str">
        <f t="shared" si="172"/>
        <v>夏</v>
      </c>
      <c r="F164" s="2" t="str">
        <f t="shared" si="173"/>
        <v>一般毛衣(SWEATER)(KW)</v>
      </c>
      <c r="H164" s="2" t="str">
        <f t="shared" si="174"/>
        <v>PRKWG2303M</v>
      </c>
      <c r="I164" s="2" t="str">
        <f t="shared" ref="I164:I173" si="202">"(99)MIX99"</f>
        <v>(99)MIX99</v>
      </c>
      <c r="J164" s="2" t="str">
        <f>"155"</f>
        <v>155</v>
      </c>
      <c r="K164" s="2" t="str">
        <f>"PRKWG2303M99155"</f>
        <v>PRKWG2303M99155</v>
      </c>
      <c r="L164" s="2" t="str">
        <f t="shared" si="175"/>
        <v>899</v>
      </c>
      <c r="M164" s="1">
        <v>4</v>
      </c>
      <c r="N164" s="1">
        <v>3596</v>
      </c>
      <c r="O164" s="1">
        <v>4</v>
      </c>
      <c r="P164" s="1">
        <v>3596</v>
      </c>
      <c r="Q164" s="1">
        <v>0</v>
      </c>
      <c r="R164" s="1">
        <v>0</v>
      </c>
      <c r="S164" s="1">
        <v>1</v>
      </c>
      <c r="T164" s="1">
        <v>899</v>
      </c>
      <c r="U164" s="1">
        <v>5</v>
      </c>
      <c r="V164" s="1">
        <v>4495</v>
      </c>
    </row>
    <row r="165" spans="1:22" x14ac:dyDescent="0.15">
      <c r="A165" s="2" t="str">
        <f t="shared" si="199"/>
        <v>CBBH</v>
      </c>
      <c r="B165" s="2" t="str">
        <f t="shared" si="200"/>
        <v>西北支社</v>
      </c>
      <c r="C165" s="2" t="str">
        <f t="shared" si="201"/>
        <v>PR 西安赛格国际购物中心(CBBH)</v>
      </c>
      <c r="D165" s="2" t="str">
        <f t="shared" si="171"/>
        <v>2026</v>
      </c>
      <c r="E165" s="2" t="str">
        <f t="shared" si="172"/>
        <v>夏</v>
      </c>
      <c r="F165" s="2" t="str">
        <f t="shared" si="173"/>
        <v>一般毛衣(SWEATER)(KW)</v>
      </c>
      <c r="H165" s="2" t="str">
        <f t="shared" si="174"/>
        <v>PRKWG2303M</v>
      </c>
      <c r="I165" s="2" t="str">
        <f t="shared" si="202"/>
        <v>(99)MIX99</v>
      </c>
      <c r="J165" s="2" t="str">
        <f>"160"</f>
        <v>160</v>
      </c>
      <c r="K165" s="2" t="str">
        <f>"PRKWG2303M99160"</f>
        <v>PRKWG2303M99160</v>
      </c>
      <c r="L165" s="2" t="str">
        <f t="shared" si="175"/>
        <v>899</v>
      </c>
      <c r="M165" s="1">
        <v>14</v>
      </c>
      <c r="N165" s="1">
        <v>12586</v>
      </c>
      <c r="O165" s="1">
        <v>14</v>
      </c>
      <c r="P165" s="1">
        <v>12586</v>
      </c>
      <c r="Q165" s="1">
        <v>0</v>
      </c>
      <c r="R165" s="1">
        <v>0</v>
      </c>
      <c r="S165" s="1">
        <v>6</v>
      </c>
      <c r="T165" s="1">
        <v>5394</v>
      </c>
      <c r="U165" s="1">
        <v>20</v>
      </c>
      <c r="V165" s="1">
        <v>17980</v>
      </c>
    </row>
    <row r="166" spans="1:22" x14ac:dyDescent="0.15">
      <c r="A166" s="2" t="str">
        <f t="shared" si="199"/>
        <v>CBBH</v>
      </c>
      <c r="B166" s="2" t="str">
        <f t="shared" si="200"/>
        <v>西北支社</v>
      </c>
      <c r="C166" s="2" t="str">
        <f t="shared" si="201"/>
        <v>PR 西安赛格国际购物中心(CBBH)</v>
      </c>
      <c r="D166" s="2" t="str">
        <f t="shared" si="171"/>
        <v>2026</v>
      </c>
      <c r="E166" s="2" t="str">
        <f t="shared" si="172"/>
        <v>夏</v>
      </c>
      <c r="F166" s="2" t="str">
        <f t="shared" si="173"/>
        <v>一般毛衣(SWEATER)(KW)</v>
      </c>
      <c r="H166" s="2" t="str">
        <f t="shared" si="174"/>
        <v>PRKWG2303M</v>
      </c>
      <c r="I166" s="2" t="str">
        <f t="shared" si="202"/>
        <v>(99)MIX99</v>
      </c>
      <c r="J166" s="2" t="str">
        <f>"165"</f>
        <v>165</v>
      </c>
      <c r="K166" s="2" t="str">
        <f>"PRKWG2303M99165"</f>
        <v>PRKWG2303M99165</v>
      </c>
      <c r="L166" s="2" t="str">
        <f t="shared" si="175"/>
        <v>899</v>
      </c>
      <c r="M166" s="1">
        <v>21</v>
      </c>
      <c r="N166" s="1">
        <v>18879</v>
      </c>
      <c r="O166" s="1">
        <v>21</v>
      </c>
      <c r="P166" s="1">
        <v>18879</v>
      </c>
      <c r="Q166" s="1">
        <v>0</v>
      </c>
      <c r="R166" s="1">
        <v>0</v>
      </c>
      <c r="S166" s="1">
        <v>2</v>
      </c>
      <c r="T166" s="1">
        <v>1798</v>
      </c>
      <c r="U166" s="1">
        <v>23</v>
      </c>
      <c r="V166" s="1">
        <v>20677</v>
      </c>
    </row>
    <row r="167" spans="1:22" x14ac:dyDescent="0.15">
      <c r="A167" s="2" t="str">
        <f t="shared" si="199"/>
        <v>CBBH</v>
      </c>
      <c r="B167" s="2" t="str">
        <f t="shared" si="200"/>
        <v>西北支社</v>
      </c>
      <c r="C167" s="2" t="str">
        <f t="shared" si="201"/>
        <v>PR 西安赛格国际购物中心(CBBH)</v>
      </c>
      <c r="D167" s="2" t="str">
        <f t="shared" si="171"/>
        <v>2026</v>
      </c>
      <c r="E167" s="2" t="str">
        <f t="shared" si="172"/>
        <v>夏</v>
      </c>
      <c r="F167" s="2" t="str">
        <f t="shared" si="173"/>
        <v>一般毛衣(SWEATER)(KW)</v>
      </c>
      <c r="H167" s="2" t="str">
        <f t="shared" si="174"/>
        <v>PRKWG2303M</v>
      </c>
      <c r="I167" s="2" t="str">
        <f t="shared" si="202"/>
        <v>(99)MIX99</v>
      </c>
      <c r="J167" s="2" t="str">
        <f>"170"</f>
        <v>170</v>
      </c>
      <c r="K167" s="2" t="str">
        <f>"PRKWG2303M99170"</f>
        <v>PRKWG2303M99170</v>
      </c>
      <c r="L167" s="2" t="str">
        <f t="shared" si="175"/>
        <v>899</v>
      </c>
      <c r="M167" s="1">
        <v>9</v>
      </c>
      <c r="N167" s="1">
        <v>8091</v>
      </c>
      <c r="O167" s="1">
        <v>9</v>
      </c>
      <c r="P167" s="1">
        <v>8091</v>
      </c>
      <c r="Q167" s="1">
        <v>0</v>
      </c>
      <c r="R167" s="1">
        <v>0</v>
      </c>
      <c r="S167" s="1">
        <v>0</v>
      </c>
      <c r="T167" s="1">
        <v>0</v>
      </c>
      <c r="U167" s="1">
        <v>9</v>
      </c>
      <c r="V167" s="1">
        <v>8091</v>
      </c>
    </row>
    <row r="168" spans="1:22" x14ac:dyDescent="0.15">
      <c r="A168" s="2" t="str">
        <f t="shared" ref="A168:A170" si="203">"CC1H"</f>
        <v>CC1H</v>
      </c>
      <c r="B168" s="2" t="str">
        <f t="shared" ref="B168:B170" si="204">"川西支社"</f>
        <v>川西支社</v>
      </c>
      <c r="C168" s="2" t="str">
        <f t="shared" ref="C168:C170" si="205">"PR 成都伊藤温江店(CC1H)"</f>
        <v>PR 成都伊藤温江店(CC1H)</v>
      </c>
      <c r="D168" s="2" t="str">
        <f t="shared" si="171"/>
        <v>2026</v>
      </c>
      <c r="E168" s="2" t="str">
        <f t="shared" si="172"/>
        <v>夏</v>
      </c>
      <c r="F168" s="2" t="str">
        <f t="shared" si="173"/>
        <v>一般毛衣(SWEATER)(KW)</v>
      </c>
      <c r="H168" s="2" t="str">
        <f t="shared" si="174"/>
        <v>PRKWG2303M</v>
      </c>
      <c r="I168" s="2" t="str">
        <f t="shared" si="202"/>
        <v>(99)MIX99</v>
      </c>
      <c r="J168" s="2" t="str">
        <f>"160"</f>
        <v>160</v>
      </c>
      <c r="K168" s="2" t="str">
        <f>"PRKWG2303M99160"</f>
        <v>PRKWG2303M99160</v>
      </c>
      <c r="L168" s="2" t="str">
        <f t="shared" si="175"/>
        <v>899</v>
      </c>
      <c r="M168" s="1">
        <v>3</v>
      </c>
      <c r="N168" s="1">
        <v>2697</v>
      </c>
      <c r="O168" s="1">
        <v>3</v>
      </c>
      <c r="P168" s="1">
        <v>2697</v>
      </c>
      <c r="Q168" s="1">
        <v>0</v>
      </c>
      <c r="R168" s="1">
        <v>0</v>
      </c>
      <c r="S168" s="1">
        <v>0</v>
      </c>
      <c r="T168" s="1">
        <v>0</v>
      </c>
      <c r="U168" s="1">
        <v>3</v>
      </c>
      <c r="V168" s="1">
        <v>2697</v>
      </c>
    </row>
    <row r="169" spans="1:22" x14ac:dyDescent="0.15">
      <c r="A169" s="2" t="str">
        <f t="shared" si="203"/>
        <v>CC1H</v>
      </c>
      <c r="B169" s="2" t="str">
        <f t="shared" si="204"/>
        <v>川西支社</v>
      </c>
      <c r="C169" s="2" t="str">
        <f t="shared" si="205"/>
        <v>PR 成都伊藤温江店(CC1H)</v>
      </c>
      <c r="D169" s="2" t="str">
        <f t="shared" si="171"/>
        <v>2026</v>
      </c>
      <c r="E169" s="2" t="str">
        <f t="shared" si="172"/>
        <v>夏</v>
      </c>
      <c r="F169" s="2" t="str">
        <f t="shared" si="173"/>
        <v>一般毛衣(SWEATER)(KW)</v>
      </c>
      <c r="H169" s="2" t="str">
        <f t="shared" si="174"/>
        <v>PRKWG2303M</v>
      </c>
      <c r="I169" s="2" t="str">
        <f t="shared" si="202"/>
        <v>(99)MIX99</v>
      </c>
      <c r="J169" s="2" t="str">
        <f t="shared" ref="J169:J174" si="206">"165"</f>
        <v>165</v>
      </c>
      <c r="K169" s="2" t="str">
        <f>"PRKWG2303M99165"</f>
        <v>PRKWG2303M99165</v>
      </c>
      <c r="L169" s="2" t="str">
        <f t="shared" si="175"/>
        <v>899</v>
      </c>
      <c r="M169" s="1">
        <v>1</v>
      </c>
      <c r="N169" s="1">
        <v>899</v>
      </c>
      <c r="O169" s="1">
        <v>1</v>
      </c>
      <c r="P169" s="1">
        <v>899</v>
      </c>
      <c r="Q169" s="1">
        <v>0</v>
      </c>
      <c r="R169" s="1">
        <v>0</v>
      </c>
      <c r="S169" s="1">
        <v>0</v>
      </c>
      <c r="T169" s="1">
        <v>0</v>
      </c>
      <c r="U169" s="1">
        <v>1</v>
      </c>
      <c r="V169" s="1">
        <v>899</v>
      </c>
    </row>
    <row r="170" spans="1:22" x14ac:dyDescent="0.15">
      <c r="A170" s="2" t="str">
        <f t="shared" si="203"/>
        <v>CC1H</v>
      </c>
      <c r="B170" s="2" t="str">
        <f t="shared" si="204"/>
        <v>川西支社</v>
      </c>
      <c r="C170" s="2" t="str">
        <f t="shared" si="205"/>
        <v>PR 成都伊藤温江店(CC1H)</v>
      </c>
      <c r="D170" s="2" t="str">
        <f t="shared" si="171"/>
        <v>2026</v>
      </c>
      <c r="E170" s="2" t="str">
        <f t="shared" si="172"/>
        <v>夏</v>
      </c>
      <c r="F170" s="2" t="str">
        <f t="shared" si="173"/>
        <v>一般毛衣(SWEATER)(KW)</v>
      </c>
      <c r="H170" s="2" t="str">
        <f t="shared" si="174"/>
        <v>PRKWG2303M</v>
      </c>
      <c r="I170" s="2" t="str">
        <f t="shared" si="202"/>
        <v>(99)MIX99</v>
      </c>
      <c r="J170" s="2" t="str">
        <f>"170"</f>
        <v>170</v>
      </c>
      <c r="K170" s="2" t="str">
        <f>"PRKWG2303M99170"</f>
        <v>PRKWG2303M99170</v>
      </c>
      <c r="L170" s="2" t="str">
        <f t="shared" si="175"/>
        <v>899</v>
      </c>
      <c r="M170" s="1">
        <v>1</v>
      </c>
      <c r="N170" s="1">
        <v>899</v>
      </c>
      <c r="O170" s="1">
        <v>1</v>
      </c>
      <c r="P170" s="1">
        <v>899</v>
      </c>
      <c r="Q170" s="1">
        <v>0</v>
      </c>
      <c r="R170" s="1">
        <v>0</v>
      </c>
      <c r="S170" s="1">
        <v>0</v>
      </c>
      <c r="T170" s="1">
        <v>0</v>
      </c>
      <c r="U170" s="1">
        <v>1</v>
      </c>
      <c r="V170" s="1">
        <v>899</v>
      </c>
    </row>
    <row r="171" spans="1:22" x14ac:dyDescent="0.15">
      <c r="A171" s="2" t="str">
        <f t="shared" ref="A171:A173" si="207">"CC68"</f>
        <v>CC68</v>
      </c>
      <c r="B171" s="2" t="str">
        <f t="shared" ref="B171:B173" si="208">"重庆支社"</f>
        <v>重庆支社</v>
      </c>
      <c r="C171" s="2" t="str">
        <f t="shared" ref="C171:C173" si="209">"PR 重庆西部奥特莱斯(CC68)"</f>
        <v>PR 重庆西部奥特莱斯(CC68)</v>
      </c>
      <c r="D171" s="2" t="str">
        <f t="shared" si="171"/>
        <v>2026</v>
      </c>
      <c r="E171" s="2" t="str">
        <f t="shared" si="172"/>
        <v>夏</v>
      </c>
      <c r="F171" s="2" t="str">
        <f t="shared" si="173"/>
        <v>一般毛衣(SWEATER)(KW)</v>
      </c>
      <c r="H171" s="2" t="str">
        <f t="shared" si="174"/>
        <v>PRKWG2303M</v>
      </c>
      <c r="I171" s="2" t="str">
        <f t="shared" si="202"/>
        <v>(99)MIX99</v>
      </c>
      <c r="J171" s="2" t="str">
        <f>"160"</f>
        <v>160</v>
      </c>
      <c r="K171" s="2" t="str">
        <f>"PRKWG2303M99160"</f>
        <v>PRKWG2303M99160</v>
      </c>
      <c r="L171" s="2" t="str">
        <f t="shared" si="175"/>
        <v>899</v>
      </c>
      <c r="M171" s="1">
        <v>4</v>
      </c>
      <c r="N171" s="1">
        <v>3596</v>
      </c>
      <c r="O171" s="1">
        <v>4</v>
      </c>
      <c r="P171" s="1">
        <v>3596</v>
      </c>
      <c r="Q171" s="1">
        <v>0</v>
      </c>
      <c r="R171" s="1">
        <v>0</v>
      </c>
      <c r="S171" s="1">
        <v>0</v>
      </c>
      <c r="T171" s="1">
        <v>0</v>
      </c>
      <c r="U171" s="1">
        <v>4</v>
      </c>
      <c r="V171" s="1">
        <v>3596</v>
      </c>
    </row>
    <row r="172" spans="1:22" x14ac:dyDescent="0.15">
      <c r="A172" s="2" t="str">
        <f t="shared" si="207"/>
        <v>CC68</v>
      </c>
      <c r="B172" s="2" t="str">
        <f t="shared" si="208"/>
        <v>重庆支社</v>
      </c>
      <c r="C172" s="2" t="str">
        <f t="shared" si="209"/>
        <v>PR 重庆西部奥特莱斯(CC68)</v>
      </c>
      <c r="D172" s="2" t="str">
        <f t="shared" si="171"/>
        <v>2026</v>
      </c>
      <c r="E172" s="2" t="str">
        <f t="shared" si="172"/>
        <v>夏</v>
      </c>
      <c r="F172" s="2" t="str">
        <f t="shared" si="173"/>
        <v>一般毛衣(SWEATER)(KW)</v>
      </c>
      <c r="H172" s="2" t="str">
        <f t="shared" si="174"/>
        <v>PRKWG2303M</v>
      </c>
      <c r="I172" s="2" t="str">
        <f t="shared" si="202"/>
        <v>(99)MIX99</v>
      </c>
      <c r="J172" s="2" t="str">
        <f t="shared" si="206"/>
        <v>165</v>
      </c>
      <c r="K172" s="2" t="str">
        <f>"PRKWG2303M99165"</f>
        <v>PRKWG2303M99165</v>
      </c>
      <c r="L172" s="2" t="str">
        <f t="shared" si="175"/>
        <v>899</v>
      </c>
      <c r="M172" s="1">
        <v>5</v>
      </c>
      <c r="N172" s="1">
        <v>4495</v>
      </c>
      <c r="O172" s="1">
        <v>5</v>
      </c>
      <c r="P172" s="1">
        <v>4495</v>
      </c>
      <c r="Q172" s="1">
        <v>0</v>
      </c>
      <c r="R172" s="1">
        <v>0</v>
      </c>
      <c r="S172" s="1">
        <v>0</v>
      </c>
      <c r="T172" s="1">
        <v>0</v>
      </c>
      <c r="U172" s="1">
        <v>5</v>
      </c>
      <c r="V172" s="1">
        <v>4495</v>
      </c>
    </row>
    <row r="173" spans="1:22" x14ac:dyDescent="0.15">
      <c r="A173" s="2" t="str">
        <f t="shared" si="207"/>
        <v>CC68</v>
      </c>
      <c r="B173" s="2" t="str">
        <f t="shared" si="208"/>
        <v>重庆支社</v>
      </c>
      <c r="C173" s="2" t="str">
        <f t="shared" si="209"/>
        <v>PR 重庆西部奥特莱斯(CC68)</v>
      </c>
      <c r="D173" s="2" t="str">
        <f t="shared" si="171"/>
        <v>2026</v>
      </c>
      <c r="E173" s="2" t="str">
        <f t="shared" si="172"/>
        <v>夏</v>
      </c>
      <c r="F173" s="2" t="str">
        <f t="shared" si="173"/>
        <v>一般毛衣(SWEATER)(KW)</v>
      </c>
      <c r="H173" s="2" t="str">
        <f t="shared" si="174"/>
        <v>PRKWG2303M</v>
      </c>
      <c r="I173" s="2" t="str">
        <f t="shared" si="202"/>
        <v>(99)MIX99</v>
      </c>
      <c r="J173" s="2" t="str">
        <f>"170"</f>
        <v>170</v>
      </c>
      <c r="K173" s="2" t="str">
        <f>"PRKWG2303M99170"</f>
        <v>PRKWG2303M99170</v>
      </c>
      <c r="L173" s="2" t="str">
        <f t="shared" si="175"/>
        <v>899</v>
      </c>
      <c r="M173" s="1">
        <v>1</v>
      </c>
      <c r="N173" s="1">
        <v>899</v>
      </c>
      <c r="O173" s="1">
        <v>1</v>
      </c>
      <c r="P173" s="1">
        <v>899</v>
      </c>
      <c r="Q173" s="1">
        <v>0</v>
      </c>
      <c r="R173" s="1">
        <v>0</v>
      </c>
      <c r="S173" s="1">
        <v>0</v>
      </c>
      <c r="T173" s="1">
        <v>0</v>
      </c>
      <c r="U173" s="1">
        <v>1</v>
      </c>
      <c r="V173" s="1">
        <v>899</v>
      </c>
    </row>
    <row r="174" spans="1:22" x14ac:dyDescent="0.15">
      <c r="A174" s="2" t="str">
        <f>"CC7O"</f>
        <v>CC7O</v>
      </c>
      <c r="B174" s="2" t="str">
        <f>"电商-天猫"</f>
        <v>电商-天猫</v>
      </c>
      <c r="C174" s="2" t="str">
        <f>"PR 天猫(T-MALL)(CC7O)"</f>
        <v>PR 天猫(T-MALL)(CC7O)</v>
      </c>
      <c r="D174" s="2" t="str">
        <f t="shared" si="171"/>
        <v>2026</v>
      </c>
      <c r="E174" s="2" t="str">
        <f t="shared" si="172"/>
        <v>夏</v>
      </c>
      <c r="F174" s="2" t="str">
        <f t="shared" si="173"/>
        <v>一般毛衣(SWEATER)(KW)</v>
      </c>
      <c r="H174" s="2" t="str">
        <f t="shared" si="174"/>
        <v>PRKWG2303M</v>
      </c>
      <c r="I174" s="2" t="str">
        <f t="shared" ref="I174:I181" si="210">"(99)MIX99"</f>
        <v>(99)MIX99</v>
      </c>
      <c r="J174" s="2" t="str">
        <f t="shared" si="206"/>
        <v>165</v>
      </c>
      <c r="K174" s="2" t="str">
        <f>"PRKWG2303M99165"</f>
        <v>PRKWG2303M99165</v>
      </c>
      <c r="L174" s="2" t="str">
        <f t="shared" si="175"/>
        <v>899</v>
      </c>
      <c r="M174" s="1">
        <v>1</v>
      </c>
      <c r="N174" s="1">
        <v>899</v>
      </c>
      <c r="O174" s="1">
        <v>1</v>
      </c>
      <c r="P174" s="1">
        <v>899</v>
      </c>
      <c r="Q174" s="1">
        <v>0</v>
      </c>
      <c r="R174" s="1">
        <v>0</v>
      </c>
      <c r="S174" s="1">
        <v>0</v>
      </c>
      <c r="T174" s="1">
        <v>0</v>
      </c>
      <c r="U174" s="1">
        <v>1</v>
      </c>
      <c r="V174" s="1">
        <v>899</v>
      </c>
    </row>
    <row r="175" spans="1:22" x14ac:dyDescent="0.15">
      <c r="A175" s="2" t="str">
        <f t="shared" ref="A175:A178" si="211">"CCOO"</f>
        <v>CCOO</v>
      </c>
      <c r="B175" s="2" t="str">
        <f t="shared" ref="B175:B181" si="212">"川南支社"</f>
        <v>川南支社</v>
      </c>
      <c r="C175" s="2" t="str">
        <f t="shared" ref="C175:C178" si="213">"PR 昆明金鹰护国店(CCOO)"</f>
        <v>PR 昆明金鹰护国店(CCOO)</v>
      </c>
      <c r="D175" s="2" t="str">
        <f t="shared" si="171"/>
        <v>2026</v>
      </c>
      <c r="E175" s="2" t="str">
        <f t="shared" si="172"/>
        <v>夏</v>
      </c>
      <c r="F175" s="2" t="str">
        <f t="shared" si="173"/>
        <v>一般毛衣(SWEATER)(KW)</v>
      </c>
      <c r="H175" s="2" t="str">
        <f t="shared" si="174"/>
        <v>PRKWG2303M</v>
      </c>
      <c r="I175" s="2" t="str">
        <f t="shared" si="210"/>
        <v>(99)MIX99</v>
      </c>
      <c r="J175" s="2" t="str">
        <f>"155"</f>
        <v>155</v>
      </c>
      <c r="K175" s="2" t="str">
        <f>"PRKWG2303M99155"</f>
        <v>PRKWG2303M99155</v>
      </c>
      <c r="L175" s="2" t="str">
        <f t="shared" si="175"/>
        <v>899</v>
      </c>
      <c r="M175" s="1">
        <v>1</v>
      </c>
      <c r="N175" s="1">
        <v>899</v>
      </c>
      <c r="O175" s="1">
        <v>1</v>
      </c>
      <c r="P175" s="1">
        <v>899</v>
      </c>
      <c r="Q175" s="1">
        <v>0</v>
      </c>
      <c r="R175" s="1">
        <v>0</v>
      </c>
      <c r="S175" s="1">
        <v>0</v>
      </c>
      <c r="T175" s="1">
        <v>0</v>
      </c>
      <c r="U175" s="1">
        <v>1</v>
      </c>
      <c r="V175" s="1">
        <v>899</v>
      </c>
    </row>
    <row r="176" spans="1:22" x14ac:dyDescent="0.15">
      <c r="A176" s="2" t="str">
        <f t="shared" si="211"/>
        <v>CCOO</v>
      </c>
      <c r="B176" s="2" t="str">
        <f t="shared" si="212"/>
        <v>川南支社</v>
      </c>
      <c r="C176" s="2" t="str">
        <f t="shared" si="213"/>
        <v>PR 昆明金鹰护国店(CCOO)</v>
      </c>
      <c r="D176" s="2" t="str">
        <f t="shared" si="171"/>
        <v>2026</v>
      </c>
      <c r="E176" s="2" t="str">
        <f t="shared" si="172"/>
        <v>夏</v>
      </c>
      <c r="F176" s="2" t="str">
        <f t="shared" si="173"/>
        <v>一般毛衣(SWEATER)(KW)</v>
      </c>
      <c r="H176" s="2" t="str">
        <f t="shared" si="174"/>
        <v>PRKWG2303M</v>
      </c>
      <c r="I176" s="2" t="str">
        <f t="shared" si="210"/>
        <v>(99)MIX99</v>
      </c>
      <c r="J176" s="2" t="str">
        <f>"160"</f>
        <v>160</v>
      </c>
      <c r="K176" s="2" t="str">
        <f>"PRKWG2303M99160"</f>
        <v>PRKWG2303M99160</v>
      </c>
      <c r="L176" s="2" t="str">
        <f t="shared" si="175"/>
        <v>899</v>
      </c>
      <c r="M176" s="1">
        <v>4</v>
      </c>
      <c r="N176" s="1">
        <v>3596</v>
      </c>
      <c r="O176" s="1">
        <v>4</v>
      </c>
      <c r="P176" s="1">
        <v>3596</v>
      </c>
      <c r="Q176" s="1">
        <v>0</v>
      </c>
      <c r="R176" s="1">
        <v>0</v>
      </c>
      <c r="S176" s="1">
        <v>0</v>
      </c>
      <c r="T176" s="1">
        <v>0</v>
      </c>
      <c r="U176" s="1">
        <v>4</v>
      </c>
      <c r="V176" s="1">
        <v>3596</v>
      </c>
    </row>
    <row r="177" spans="1:22" x14ac:dyDescent="0.15">
      <c r="A177" s="2" t="str">
        <f t="shared" si="211"/>
        <v>CCOO</v>
      </c>
      <c r="B177" s="2" t="str">
        <f t="shared" si="212"/>
        <v>川南支社</v>
      </c>
      <c r="C177" s="2" t="str">
        <f t="shared" si="213"/>
        <v>PR 昆明金鹰护国店(CCOO)</v>
      </c>
      <c r="D177" s="2" t="str">
        <f t="shared" si="171"/>
        <v>2026</v>
      </c>
      <c r="E177" s="2" t="str">
        <f t="shared" si="172"/>
        <v>夏</v>
      </c>
      <c r="F177" s="2" t="str">
        <f t="shared" si="173"/>
        <v>一般毛衣(SWEATER)(KW)</v>
      </c>
      <c r="H177" s="2" t="str">
        <f t="shared" si="174"/>
        <v>PRKWG2303M</v>
      </c>
      <c r="I177" s="2" t="str">
        <f t="shared" si="210"/>
        <v>(99)MIX99</v>
      </c>
      <c r="J177" s="2" t="str">
        <f>"165"</f>
        <v>165</v>
      </c>
      <c r="K177" s="2" t="str">
        <f>"PRKWG2303M99165"</f>
        <v>PRKWG2303M99165</v>
      </c>
      <c r="L177" s="2" t="str">
        <f t="shared" si="175"/>
        <v>899</v>
      </c>
      <c r="M177" s="1">
        <v>3</v>
      </c>
      <c r="N177" s="1">
        <v>2697</v>
      </c>
      <c r="O177" s="1">
        <v>3</v>
      </c>
      <c r="P177" s="1">
        <v>2697</v>
      </c>
      <c r="Q177" s="1">
        <v>0</v>
      </c>
      <c r="R177" s="1">
        <v>0</v>
      </c>
      <c r="S177" s="1">
        <v>0</v>
      </c>
      <c r="T177" s="1">
        <v>0</v>
      </c>
      <c r="U177" s="1">
        <v>3</v>
      </c>
      <c r="V177" s="1">
        <v>2697</v>
      </c>
    </row>
    <row r="178" spans="1:22" x14ac:dyDescent="0.15">
      <c r="A178" s="2" t="str">
        <f t="shared" si="211"/>
        <v>CCOO</v>
      </c>
      <c r="B178" s="2" t="str">
        <f t="shared" si="212"/>
        <v>川南支社</v>
      </c>
      <c r="C178" s="2" t="str">
        <f t="shared" si="213"/>
        <v>PR 昆明金鹰护国店(CCOO)</v>
      </c>
      <c r="D178" s="2" t="str">
        <f t="shared" si="171"/>
        <v>2026</v>
      </c>
      <c r="E178" s="2" t="str">
        <f t="shared" si="172"/>
        <v>夏</v>
      </c>
      <c r="F178" s="2" t="str">
        <f t="shared" si="173"/>
        <v>一般毛衣(SWEATER)(KW)</v>
      </c>
      <c r="H178" s="2" t="str">
        <f t="shared" si="174"/>
        <v>PRKWG2303M</v>
      </c>
      <c r="I178" s="2" t="str">
        <f t="shared" si="210"/>
        <v>(99)MIX99</v>
      </c>
      <c r="J178" s="2" t="str">
        <f>"170"</f>
        <v>170</v>
      </c>
      <c r="K178" s="2" t="str">
        <f>"PRKWG2303M99170"</f>
        <v>PRKWG2303M99170</v>
      </c>
      <c r="L178" s="2" t="str">
        <f t="shared" si="175"/>
        <v>899</v>
      </c>
      <c r="M178" s="1">
        <v>1</v>
      </c>
      <c r="N178" s="1">
        <v>899</v>
      </c>
      <c r="O178" s="1">
        <v>1</v>
      </c>
      <c r="P178" s="1">
        <v>899</v>
      </c>
      <c r="Q178" s="1">
        <v>0</v>
      </c>
      <c r="R178" s="1">
        <v>0</v>
      </c>
      <c r="S178" s="1">
        <v>0</v>
      </c>
      <c r="T178" s="1">
        <v>0</v>
      </c>
      <c r="U178" s="1">
        <v>1</v>
      </c>
      <c r="V178" s="1">
        <v>899</v>
      </c>
    </row>
    <row r="179" spans="1:22" x14ac:dyDescent="0.15">
      <c r="A179" s="2" t="str">
        <f t="shared" ref="A179:A181" si="214">"CCS8"</f>
        <v>CCS8</v>
      </c>
      <c r="B179" s="2" t="str">
        <f t="shared" si="212"/>
        <v>川南支社</v>
      </c>
      <c r="C179" s="2" t="str">
        <f t="shared" ref="C179:C181" si="215">"PR 泸州重百商场(CCS8)"</f>
        <v>PR 泸州重百商场(CCS8)</v>
      </c>
      <c r="D179" s="2" t="str">
        <f t="shared" si="171"/>
        <v>2026</v>
      </c>
      <c r="E179" s="2" t="str">
        <f t="shared" si="172"/>
        <v>夏</v>
      </c>
      <c r="F179" s="2" t="str">
        <f t="shared" si="173"/>
        <v>一般毛衣(SWEATER)(KW)</v>
      </c>
      <c r="H179" s="2" t="str">
        <f t="shared" si="174"/>
        <v>PRKWG2303M</v>
      </c>
      <c r="I179" s="2" t="str">
        <f t="shared" si="210"/>
        <v>(99)MIX99</v>
      </c>
      <c r="J179" s="2" t="str">
        <f>"160"</f>
        <v>160</v>
      </c>
      <c r="K179" s="2" t="str">
        <f>"PRKWG2303M99160"</f>
        <v>PRKWG2303M99160</v>
      </c>
      <c r="L179" s="2" t="str">
        <f t="shared" si="175"/>
        <v>899</v>
      </c>
      <c r="M179" s="1">
        <v>2</v>
      </c>
      <c r="N179" s="1">
        <v>1798</v>
      </c>
      <c r="O179" s="1">
        <v>2</v>
      </c>
      <c r="P179" s="1">
        <v>1798</v>
      </c>
      <c r="Q179" s="1">
        <v>0</v>
      </c>
      <c r="R179" s="1">
        <v>0</v>
      </c>
      <c r="S179" s="1">
        <v>0</v>
      </c>
      <c r="T179" s="1">
        <v>0</v>
      </c>
      <c r="U179" s="1">
        <v>2</v>
      </c>
      <c r="V179" s="1">
        <v>1798</v>
      </c>
    </row>
    <row r="180" spans="1:22" x14ac:dyDescent="0.15">
      <c r="A180" s="2" t="str">
        <f t="shared" si="214"/>
        <v>CCS8</v>
      </c>
      <c r="B180" s="2" t="str">
        <f t="shared" si="212"/>
        <v>川南支社</v>
      </c>
      <c r="C180" s="2" t="str">
        <f t="shared" si="215"/>
        <v>PR 泸州重百商场(CCS8)</v>
      </c>
      <c r="D180" s="2" t="str">
        <f t="shared" si="171"/>
        <v>2026</v>
      </c>
      <c r="E180" s="2" t="str">
        <f t="shared" si="172"/>
        <v>夏</v>
      </c>
      <c r="F180" s="2" t="str">
        <f t="shared" si="173"/>
        <v>一般毛衣(SWEATER)(KW)</v>
      </c>
      <c r="H180" s="2" t="str">
        <f t="shared" si="174"/>
        <v>PRKWG2303M</v>
      </c>
      <c r="I180" s="2" t="str">
        <f t="shared" si="210"/>
        <v>(99)MIX99</v>
      </c>
      <c r="J180" s="2" t="str">
        <f>"165"</f>
        <v>165</v>
      </c>
      <c r="K180" s="2" t="str">
        <f>"PRKWG2303M99165"</f>
        <v>PRKWG2303M99165</v>
      </c>
      <c r="L180" s="2" t="str">
        <f t="shared" si="175"/>
        <v>899</v>
      </c>
      <c r="M180" s="1">
        <v>2</v>
      </c>
      <c r="N180" s="1">
        <v>1798</v>
      </c>
      <c r="O180" s="1">
        <v>2</v>
      </c>
      <c r="P180" s="1">
        <v>1798</v>
      </c>
      <c r="Q180" s="1">
        <v>0</v>
      </c>
      <c r="R180" s="1">
        <v>0</v>
      </c>
      <c r="S180" s="1">
        <v>0</v>
      </c>
      <c r="T180" s="1">
        <v>0</v>
      </c>
      <c r="U180" s="1">
        <v>2</v>
      </c>
      <c r="V180" s="1">
        <v>1798</v>
      </c>
    </row>
    <row r="181" spans="1:22" x14ac:dyDescent="0.15">
      <c r="A181" s="2" t="str">
        <f t="shared" si="214"/>
        <v>CCS8</v>
      </c>
      <c r="B181" s="2" t="str">
        <f t="shared" si="212"/>
        <v>川南支社</v>
      </c>
      <c r="C181" s="2" t="str">
        <f t="shared" si="215"/>
        <v>PR 泸州重百商场(CCS8)</v>
      </c>
      <c r="D181" s="2" t="str">
        <f t="shared" si="171"/>
        <v>2026</v>
      </c>
      <c r="E181" s="2" t="str">
        <f t="shared" si="172"/>
        <v>夏</v>
      </c>
      <c r="F181" s="2" t="str">
        <f t="shared" si="173"/>
        <v>一般毛衣(SWEATER)(KW)</v>
      </c>
      <c r="H181" s="2" t="str">
        <f t="shared" si="174"/>
        <v>PRKWG2303M</v>
      </c>
      <c r="I181" s="2" t="str">
        <f t="shared" si="210"/>
        <v>(99)MIX99</v>
      </c>
      <c r="J181" s="2" t="str">
        <f>"170"</f>
        <v>170</v>
      </c>
      <c r="K181" s="2" t="str">
        <f>"PRKWG2303M99170"</f>
        <v>PRKWG2303M99170</v>
      </c>
      <c r="L181" s="2" t="str">
        <f t="shared" si="175"/>
        <v>899</v>
      </c>
      <c r="M181" s="1">
        <v>1</v>
      </c>
      <c r="N181" s="1">
        <v>899</v>
      </c>
      <c r="O181" s="1">
        <v>1</v>
      </c>
      <c r="P181" s="1">
        <v>899</v>
      </c>
      <c r="Q181" s="1">
        <v>0</v>
      </c>
      <c r="R181" s="1">
        <v>0</v>
      </c>
      <c r="S181" s="1">
        <v>0</v>
      </c>
      <c r="T181" s="1">
        <v>0</v>
      </c>
      <c r="U181" s="1">
        <v>1</v>
      </c>
      <c r="V181" s="1">
        <v>899</v>
      </c>
    </row>
    <row r="182" spans="1:22" x14ac:dyDescent="0.15">
      <c r="A182" s="2" t="str">
        <f t="shared" ref="A182:A185" si="216">"CCWJ"</f>
        <v>CCWJ</v>
      </c>
      <c r="B182" s="2" t="str">
        <f t="shared" ref="B182:B185" si="217">"华东支社"</f>
        <v>华东支社</v>
      </c>
      <c r="C182" s="2" t="str">
        <f t="shared" ref="C182:C185" si="218">"PR 南京砂之船(CCWJ)"</f>
        <v>PR 南京砂之船(CCWJ)</v>
      </c>
      <c r="D182" s="2" t="str">
        <f t="shared" si="171"/>
        <v>2026</v>
      </c>
      <c r="E182" s="2" t="str">
        <f t="shared" si="172"/>
        <v>夏</v>
      </c>
      <c r="F182" s="2" t="str">
        <f t="shared" si="173"/>
        <v>一般毛衣(SWEATER)(KW)</v>
      </c>
      <c r="H182" s="2" t="str">
        <f t="shared" si="174"/>
        <v>PRKWG2303M</v>
      </c>
      <c r="I182" s="2" t="str">
        <f t="shared" ref="I182:I185" si="219">"(99)MIX99"</f>
        <v>(99)MIX99</v>
      </c>
      <c r="J182" s="2" t="str">
        <f>"155"</f>
        <v>155</v>
      </c>
      <c r="K182" s="2" t="str">
        <f>"PRKWG2303M99155"</f>
        <v>PRKWG2303M99155</v>
      </c>
      <c r="L182" s="2" t="str">
        <f t="shared" si="175"/>
        <v>899</v>
      </c>
      <c r="M182" s="1">
        <v>1</v>
      </c>
      <c r="N182" s="1">
        <v>899</v>
      </c>
      <c r="O182" s="1">
        <v>1</v>
      </c>
      <c r="P182" s="1">
        <v>899</v>
      </c>
      <c r="Q182" s="1">
        <v>0</v>
      </c>
      <c r="R182" s="1">
        <v>0</v>
      </c>
      <c r="S182" s="1">
        <v>0</v>
      </c>
      <c r="T182" s="1">
        <v>0</v>
      </c>
      <c r="U182" s="1">
        <v>1</v>
      </c>
      <c r="V182" s="1">
        <v>899</v>
      </c>
    </row>
    <row r="183" spans="1:22" x14ac:dyDescent="0.15">
      <c r="A183" s="2" t="str">
        <f t="shared" si="216"/>
        <v>CCWJ</v>
      </c>
      <c r="B183" s="2" t="str">
        <f t="shared" si="217"/>
        <v>华东支社</v>
      </c>
      <c r="C183" s="2" t="str">
        <f t="shared" si="218"/>
        <v>PR 南京砂之船(CCWJ)</v>
      </c>
      <c r="D183" s="2" t="str">
        <f t="shared" si="171"/>
        <v>2026</v>
      </c>
      <c r="E183" s="2" t="str">
        <f t="shared" si="172"/>
        <v>夏</v>
      </c>
      <c r="F183" s="2" t="str">
        <f t="shared" si="173"/>
        <v>一般毛衣(SWEATER)(KW)</v>
      </c>
      <c r="H183" s="2" t="str">
        <f t="shared" si="174"/>
        <v>PRKWG2303M</v>
      </c>
      <c r="I183" s="2" t="str">
        <f t="shared" si="219"/>
        <v>(99)MIX99</v>
      </c>
      <c r="J183" s="2" t="str">
        <f t="shared" ref="J183:J186" si="220">"160"</f>
        <v>160</v>
      </c>
      <c r="K183" s="2" t="str">
        <f>"PRKWG2303M99160"</f>
        <v>PRKWG2303M99160</v>
      </c>
      <c r="L183" s="2" t="str">
        <f t="shared" si="175"/>
        <v>899</v>
      </c>
      <c r="M183" s="1">
        <v>5</v>
      </c>
      <c r="N183" s="1">
        <v>4495</v>
      </c>
      <c r="O183" s="1">
        <v>5</v>
      </c>
      <c r="P183" s="1">
        <v>4495</v>
      </c>
      <c r="Q183" s="1">
        <v>0</v>
      </c>
      <c r="R183" s="1">
        <v>0</v>
      </c>
      <c r="S183" s="1">
        <v>10</v>
      </c>
      <c r="T183" s="1">
        <v>8990</v>
      </c>
      <c r="U183" s="1">
        <v>15</v>
      </c>
      <c r="V183" s="1">
        <v>13485</v>
      </c>
    </row>
    <row r="184" spans="1:22" x14ac:dyDescent="0.15">
      <c r="A184" s="2" t="str">
        <f t="shared" si="216"/>
        <v>CCWJ</v>
      </c>
      <c r="B184" s="2" t="str">
        <f t="shared" si="217"/>
        <v>华东支社</v>
      </c>
      <c r="C184" s="2" t="str">
        <f t="shared" si="218"/>
        <v>PR 南京砂之船(CCWJ)</v>
      </c>
      <c r="D184" s="2" t="str">
        <f t="shared" si="171"/>
        <v>2026</v>
      </c>
      <c r="E184" s="2" t="str">
        <f t="shared" si="172"/>
        <v>夏</v>
      </c>
      <c r="F184" s="2" t="str">
        <f t="shared" si="173"/>
        <v>一般毛衣(SWEATER)(KW)</v>
      </c>
      <c r="H184" s="2" t="str">
        <f t="shared" si="174"/>
        <v>PRKWG2303M</v>
      </c>
      <c r="I184" s="2" t="str">
        <f t="shared" si="219"/>
        <v>(99)MIX99</v>
      </c>
      <c r="J184" s="2" t="str">
        <f t="shared" ref="J184:J187" si="221">"165"</f>
        <v>165</v>
      </c>
      <c r="K184" s="2" t="str">
        <f>"PRKWG2303M99165"</f>
        <v>PRKWG2303M99165</v>
      </c>
      <c r="L184" s="2" t="str">
        <f t="shared" si="175"/>
        <v>899</v>
      </c>
      <c r="M184" s="1">
        <v>1</v>
      </c>
      <c r="N184" s="1">
        <v>899</v>
      </c>
      <c r="O184" s="1">
        <v>1</v>
      </c>
      <c r="P184" s="1">
        <v>899</v>
      </c>
      <c r="Q184" s="1">
        <v>0</v>
      </c>
      <c r="R184" s="1">
        <v>0</v>
      </c>
      <c r="S184" s="1">
        <v>7</v>
      </c>
      <c r="T184" s="1">
        <v>6293</v>
      </c>
      <c r="U184" s="1">
        <v>8</v>
      </c>
      <c r="V184" s="1">
        <v>7192</v>
      </c>
    </row>
    <row r="185" spans="1:22" x14ac:dyDescent="0.15">
      <c r="A185" s="2" t="str">
        <f t="shared" si="216"/>
        <v>CCWJ</v>
      </c>
      <c r="B185" s="2" t="str">
        <f t="shared" si="217"/>
        <v>华东支社</v>
      </c>
      <c r="C185" s="2" t="str">
        <f t="shared" si="218"/>
        <v>PR 南京砂之船(CCWJ)</v>
      </c>
      <c r="D185" s="2" t="str">
        <f t="shared" si="171"/>
        <v>2026</v>
      </c>
      <c r="E185" s="2" t="str">
        <f t="shared" si="172"/>
        <v>夏</v>
      </c>
      <c r="F185" s="2" t="str">
        <f t="shared" si="173"/>
        <v>一般毛衣(SWEATER)(KW)</v>
      </c>
      <c r="H185" s="2" t="str">
        <f t="shared" si="174"/>
        <v>PRKWG2303M</v>
      </c>
      <c r="I185" s="2" t="str">
        <f t="shared" si="219"/>
        <v>(99)MIX99</v>
      </c>
      <c r="J185" s="2" t="str">
        <f>"170"</f>
        <v>170</v>
      </c>
      <c r="K185" s="2" t="str">
        <f>"PRKWG2303M99170"</f>
        <v>PRKWG2303M99170</v>
      </c>
      <c r="L185" s="2" t="str">
        <f t="shared" si="175"/>
        <v>899</v>
      </c>
      <c r="M185" s="1">
        <v>2</v>
      </c>
      <c r="N185" s="1">
        <v>1798</v>
      </c>
      <c r="O185" s="1">
        <v>2</v>
      </c>
      <c r="P185" s="1">
        <v>1798</v>
      </c>
      <c r="Q185" s="1">
        <v>0</v>
      </c>
      <c r="R185" s="1">
        <v>0</v>
      </c>
      <c r="S185" s="1">
        <v>0</v>
      </c>
      <c r="T185" s="1">
        <v>0</v>
      </c>
      <c r="U185" s="1">
        <v>2</v>
      </c>
      <c r="V185" s="1">
        <v>1798</v>
      </c>
    </row>
    <row r="186" spans="1:22" x14ac:dyDescent="0.15">
      <c r="A186" s="2" t="str">
        <f t="shared" ref="A186:A188" si="222">"CCZY"</f>
        <v>CCZY</v>
      </c>
      <c r="B186" s="2" t="str">
        <f t="shared" ref="B186:B188" si="223">"华北支社"</f>
        <v>华北支社</v>
      </c>
      <c r="C186" s="2" t="str">
        <f t="shared" ref="C186:C188" si="224">"PR 太原茂业新天地(CCZY)"</f>
        <v>PR 太原茂业新天地(CCZY)</v>
      </c>
      <c r="D186" s="2" t="str">
        <f t="shared" si="171"/>
        <v>2026</v>
      </c>
      <c r="E186" s="2" t="str">
        <f t="shared" si="172"/>
        <v>夏</v>
      </c>
      <c r="F186" s="2" t="str">
        <f t="shared" si="173"/>
        <v>一般毛衣(SWEATER)(KW)</v>
      </c>
      <c r="H186" s="2" t="str">
        <f t="shared" si="174"/>
        <v>PRKWG2303M</v>
      </c>
      <c r="I186" s="2" t="str">
        <f t="shared" ref="I186:I212" si="225">"(99)MIX99"</f>
        <v>(99)MIX99</v>
      </c>
      <c r="J186" s="2" t="str">
        <f t="shared" si="220"/>
        <v>160</v>
      </c>
      <c r="K186" s="2" t="str">
        <f t="shared" ref="K186:K191" si="226">"PRKWG2303M99160"</f>
        <v>PRKWG2303M99160</v>
      </c>
      <c r="L186" s="2" t="str">
        <f t="shared" si="175"/>
        <v>899</v>
      </c>
      <c r="M186" s="1">
        <v>3</v>
      </c>
      <c r="N186" s="1">
        <v>2697</v>
      </c>
      <c r="O186" s="1">
        <v>3</v>
      </c>
      <c r="P186" s="1">
        <v>2697</v>
      </c>
      <c r="Q186" s="1">
        <v>0</v>
      </c>
      <c r="R186" s="1">
        <v>0</v>
      </c>
      <c r="S186" s="1">
        <v>0</v>
      </c>
      <c r="T186" s="1">
        <v>0</v>
      </c>
      <c r="U186" s="1">
        <v>3</v>
      </c>
      <c r="V186" s="1">
        <v>2697</v>
      </c>
    </row>
    <row r="187" spans="1:22" x14ac:dyDescent="0.15">
      <c r="A187" s="2" t="str">
        <f t="shared" si="222"/>
        <v>CCZY</v>
      </c>
      <c r="B187" s="2" t="str">
        <f t="shared" si="223"/>
        <v>华北支社</v>
      </c>
      <c r="C187" s="2" t="str">
        <f t="shared" si="224"/>
        <v>PR 太原茂业新天地(CCZY)</v>
      </c>
      <c r="D187" s="2" t="str">
        <f t="shared" si="171"/>
        <v>2026</v>
      </c>
      <c r="E187" s="2" t="str">
        <f t="shared" si="172"/>
        <v>夏</v>
      </c>
      <c r="F187" s="2" t="str">
        <f t="shared" si="173"/>
        <v>一般毛衣(SWEATER)(KW)</v>
      </c>
      <c r="H187" s="2" t="str">
        <f t="shared" si="174"/>
        <v>PRKWG2303M</v>
      </c>
      <c r="I187" s="2" t="str">
        <f t="shared" si="225"/>
        <v>(99)MIX99</v>
      </c>
      <c r="J187" s="2" t="str">
        <f t="shared" si="221"/>
        <v>165</v>
      </c>
      <c r="K187" s="2" t="str">
        <f>"PRKWG2303M99165"</f>
        <v>PRKWG2303M99165</v>
      </c>
      <c r="L187" s="2" t="str">
        <f t="shared" si="175"/>
        <v>899</v>
      </c>
      <c r="M187" s="1">
        <v>2</v>
      </c>
      <c r="N187" s="1">
        <v>1798</v>
      </c>
      <c r="O187" s="1">
        <v>2</v>
      </c>
      <c r="P187" s="1">
        <v>1798</v>
      </c>
      <c r="Q187" s="1">
        <v>0</v>
      </c>
      <c r="R187" s="1">
        <v>0</v>
      </c>
      <c r="S187" s="1">
        <v>0</v>
      </c>
      <c r="T187" s="1">
        <v>0</v>
      </c>
      <c r="U187" s="1">
        <v>2</v>
      </c>
      <c r="V187" s="1">
        <v>1798</v>
      </c>
    </row>
    <row r="188" spans="1:22" x14ac:dyDescent="0.15">
      <c r="A188" s="2" t="str">
        <f t="shared" si="222"/>
        <v>CCZY</v>
      </c>
      <c r="B188" s="2" t="str">
        <f t="shared" si="223"/>
        <v>华北支社</v>
      </c>
      <c r="C188" s="2" t="str">
        <f t="shared" si="224"/>
        <v>PR 太原茂业新天地(CCZY)</v>
      </c>
      <c r="D188" s="2" t="str">
        <f t="shared" si="171"/>
        <v>2026</v>
      </c>
      <c r="E188" s="2" t="str">
        <f t="shared" si="172"/>
        <v>夏</v>
      </c>
      <c r="F188" s="2" t="str">
        <f t="shared" si="173"/>
        <v>一般毛衣(SWEATER)(KW)</v>
      </c>
      <c r="H188" s="2" t="str">
        <f t="shared" si="174"/>
        <v>PRKWG2303M</v>
      </c>
      <c r="I188" s="2" t="str">
        <f t="shared" si="225"/>
        <v>(99)MIX99</v>
      </c>
      <c r="J188" s="2" t="str">
        <f>"170"</f>
        <v>170</v>
      </c>
      <c r="K188" s="2" t="str">
        <f>"PRKWG2303M99170"</f>
        <v>PRKWG2303M99170</v>
      </c>
      <c r="L188" s="2" t="str">
        <f t="shared" si="175"/>
        <v>899</v>
      </c>
      <c r="M188" s="1">
        <v>3</v>
      </c>
      <c r="N188" s="1">
        <v>2697</v>
      </c>
      <c r="O188" s="1">
        <v>3</v>
      </c>
      <c r="P188" s="1">
        <v>2697</v>
      </c>
      <c r="Q188" s="1">
        <v>0</v>
      </c>
      <c r="R188" s="1">
        <v>0</v>
      </c>
      <c r="S188" s="1">
        <v>0</v>
      </c>
      <c r="T188" s="1">
        <v>0</v>
      </c>
      <c r="U188" s="1">
        <v>3</v>
      </c>
      <c r="V188" s="1">
        <v>2697</v>
      </c>
    </row>
    <row r="189" spans="1:22" x14ac:dyDescent="0.15">
      <c r="A189" s="2" t="str">
        <f>"CDF8"</f>
        <v>CDF8</v>
      </c>
      <c r="B189" s="2" t="str">
        <f>"华东支社"</f>
        <v>华东支社</v>
      </c>
      <c r="C189" s="2" t="str">
        <f>"PR 青岛佳世客合肥路店(CDF8)"</f>
        <v>PR 青岛佳世客合肥路店(CDF8)</v>
      </c>
      <c r="D189" s="2" t="str">
        <f t="shared" si="171"/>
        <v>2026</v>
      </c>
      <c r="E189" s="2" t="str">
        <f t="shared" si="172"/>
        <v>夏</v>
      </c>
      <c r="F189" s="2" t="str">
        <f t="shared" si="173"/>
        <v>一般毛衣(SWEATER)(KW)</v>
      </c>
      <c r="H189" s="2" t="str">
        <f t="shared" si="174"/>
        <v>PRKWG2303M</v>
      </c>
      <c r="I189" s="2" t="str">
        <f t="shared" si="225"/>
        <v>(99)MIX99</v>
      </c>
      <c r="J189" s="2" t="str">
        <f>"155"</f>
        <v>155</v>
      </c>
      <c r="K189" s="2" t="str">
        <f>"PRKWG2303M99155"</f>
        <v>PRKWG2303M99155</v>
      </c>
      <c r="L189" s="2" t="str">
        <f t="shared" si="175"/>
        <v>899</v>
      </c>
      <c r="M189" s="1">
        <v>1</v>
      </c>
      <c r="N189" s="1">
        <v>899</v>
      </c>
      <c r="O189" s="1">
        <v>1</v>
      </c>
      <c r="P189" s="1">
        <v>899</v>
      </c>
      <c r="Q189" s="1">
        <v>0</v>
      </c>
      <c r="R189" s="1">
        <v>0</v>
      </c>
      <c r="S189" s="1">
        <v>0</v>
      </c>
      <c r="T189" s="1">
        <v>0</v>
      </c>
      <c r="U189" s="1">
        <v>1</v>
      </c>
      <c r="V189" s="1">
        <v>899</v>
      </c>
    </row>
    <row r="190" spans="1:22" x14ac:dyDescent="0.15">
      <c r="A190" s="2" t="str">
        <f>"CDF8"</f>
        <v>CDF8</v>
      </c>
      <c r="B190" s="2" t="str">
        <f>"华东支社"</f>
        <v>华东支社</v>
      </c>
      <c r="C190" s="2" t="str">
        <f>"PR 青岛佳世客合肥路店(CDF8)"</f>
        <v>PR 青岛佳世客合肥路店(CDF8)</v>
      </c>
      <c r="D190" s="2" t="str">
        <f t="shared" si="171"/>
        <v>2026</v>
      </c>
      <c r="E190" s="2" t="str">
        <f t="shared" si="172"/>
        <v>夏</v>
      </c>
      <c r="F190" s="2" t="str">
        <f t="shared" si="173"/>
        <v>一般毛衣(SWEATER)(KW)</v>
      </c>
      <c r="H190" s="2" t="str">
        <f t="shared" si="174"/>
        <v>PRKWG2303M</v>
      </c>
      <c r="I190" s="2" t="str">
        <f t="shared" si="225"/>
        <v>(99)MIX99</v>
      </c>
      <c r="J190" s="2" t="str">
        <f t="shared" ref="J190:J194" si="227">"160"</f>
        <v>160</v>
      </c>
      <c r="K190" s="2" t="str">
        <f t="shared" si="226"/>
        <v>PRKWG2303M99160</v>
      </c>
      <c r="L190" s="2" t="str">
        <f t="shared" si="175"/>
        <v>899</v>
      </c>
      <c r="M190" s="1">
        <v>1</v>
      </c>
      <c r="N190" s="1">
        <v>899</v>
      </c>
      <c r="O190" s="1">
        <v>1</v>
      </c>
      <c r="P190" s="1">
        <v>899</v>
      </c>
      <c r="Q190" s="1">
        <v>0</v>
      </c>
      <c r="R190" s="1">
        <v>0</v>
      </c>
      <c r="S190" s="1">
        <v>0</v>
      </c>
      <c r="T190" s="1">
        <v>0</v>
      </c>
      <c r="U190" s="1">
        <v>1</v>
      </c>
      <c r="V190" s="1">
        <v>899</v>
      </c>
    </row>
    <row r="191" spans="1:22" x14ac:dyDescent="0.15">
      <c r="A191" s="2" t="str">
        <f t="shared" ref="A191:A193" si="228">"CDFA"</f>
        <v>CDFA</v>
      </c>
      <c r="B191" s="2" t="str">
        <f t="shared" ref="B191:B193" si="229">"华北支社"</f>
        <v>华北支社</v>
      </c>
      <c r="C191" s="2" t="str">
        <f t="shared" ref="C191:C193" si="230">"PR 天津新燕莎奥特莱斯(CDFA)"</f>
        <v>PR 天津新燕莎奥特莱斯(CDFA)</v>
      </c>
      <c r="D191" s="2" t="str">
        <f t="shared" ref="D191:D246" si="231">"2026"</f>
        <v>2026</v>
      </c>
      <c r="E191" s="2" t="str">
        <f t="shared" ref="E191:E246" si="232">"夏"</f>
        <v>夏</v>
      </c>
      <c r="F191" s="2" t="str">
        <f t="shared" ref="F191:F246" si="233">"一般毛衣(SWEATER)(KW)"</f>
        <v>一般毛衣(SWEATER)(KW)</v>
      </c>
      <c r="H191" s="2" t="str">
        <f t="shared" ref="H191:H246" si="234">"PRKWG2303M"</f>
        <v>PRKWG2303M</v>
      </c>
      <c r="I191" s="2" t="str">
        <f t="shared" si="225"/>
        <v>(99)MIX99</v>
      </c>
      <c r="J191" s="2" t="str">
        <f t="shared" si="227"/>
        <v>160</v>
      </c>
      <c r="K191" s="2" t="str">
        <f t="shared" si="226"/>
        <v>PRKWG2303M99160</v>
      </c>
      <c r="L191" s="2" t="str">
        <f t="shared" ref="L191:L246" si="235">"899"</f>
        <v>899</v>
      </c>
      <c r="M191" s="1">
        <v>1</v>
      </c>
      <c r="N191" s="1">
        <v>899</v>
      </c>
      <c r="O191" s="1">
        <v>1</v>
      </c>
      <c r="P191" s="1">
        <v>899</v>
      </c>
      <c r="Q191" s="1">
        <v>0</v>
      </c>
      <c r="R191" s="1">
        <v>0</v>
      </c>
      <c r="S191" s="1">
        <v>2</v>
      </c>
      <c r="T191" s="1">
        <v>1798</v>
      </c>
      <c r="U191" s="1">
        <v>3</v>
      </c>
      <c r="V191" s="1">
        <v>2697</v>
      </c>
    </row>
    <row r="192" spans="1:22" x14ac:dyDescent="0.15">
      <c r="A192" s="2" t="str">
        <f t="shared" si="228"/>
        <v>CDFA</v>
      </c>
      <c r="B192" s="2" t="str">
        <f t="shared" si="229"/>
        <v>华北支社</v>
      </c>
      <c r="C192" s="2" t="str">
        <f t="shared" si="230"/>
        <v>PR 天津新燕莎奥特莱斯(CDFA)</v>
      </c>
      <c r="D192" s="2" t="str">
        <f t="shared" si="231"/>
        <v>2026</v>
      </c>
      <c r="E192" s="2" t="str">
        <f t="shared" si="232"/>
        <v>夏</v>
      </c>
      <c r="F192" s="2" t="str">
        <f t="shared" si="233"/>
        <v>一般毛衣(SWEATER)(KW)</v>
      </c>
      <c r="H192" s="2" t="str">
        <f t="shared" si="234"/>
        <v>PRKWG2303M</v>
      </c>
      <c r="I192" s="2" t="str">
        <f t="shared" si="225"/>
        <v>(99)MIX99</v>
      </c>
      <c r="J192" s="2" t="str">
        <f>"165"</f>
        <v>165</v>
      </c>
      <c r="K192" s="2" t="str">
        <f>"PRKWG2303M99165"</f>
        <v>PRKWG2303M99165</v>
      </c>
      <c r="L192" s="2" t="str">
        <f t="shared" si="235"/>
        <v>899</v>
      </c>
      <c r="M192" s="1">
        <v>3</v>
      </c>
      <c r="N192" s="1">
        <v>2697</v>
      </c>
      <c r="O192" s="1">
        <v>3</v>
      </c>
      <c r="P192" s="1">
        <v>2697</v>
      </c>
      <c r="Q192" s="1">
        <v>0</v>
      </c>
      <c r="R192" s="1">
        <v>0</v>
      </c>
      <c r="S192" s="1">
        <v>0</v>
      </c>
      <c r="T192" s="1">
        <v>0</v>
      </c>
      <c r="U192" s="1">
        <v>3</v>
      </c>
      <c r="V192" s="1">
        <v>2697</v>
      </c>
    </row>
    <row r="193" spans="1:22" x14ac:dyDescent="0.15">
      <c r="A193" s="2" t="str">
        <f t="shared" si="228"/>
        <v>CDFA</v>
      </c>
      <c r="B193" s="2" t="str">
        <f t="shared" si="229"/>
        <v>华北支社</v>
      </c>
      <c r="C193" s="2" t="str">
        <f t="shared" si="230"/>
        <v>PR 天津新燕莎奥特莱斯(CDFA)</v>
      </c>
      <c r="D193" s="2" t="str">
        <f t="shared" si="231"/>
        <v>2026</v>
      </c>
      <c r="E193" s="2" t="str">
        <f t="shared" si="232"/>
        <v>夏</v>
      </c>
      <c r="F193" s="2" t="str">
        <f t="shared" si="233"/>
        <v>一般毛衣(SWEATER)(KW)</v>
      </c>
      <c r="H193" s="2" t="str">
        <f t="shared" si="234"/>
        <v>PRKWG2303M</v>
      </c>
      <c r="I193" s="2" t="str">
        <f t="shared" si="225"/>
        <v>(99)MIX99</v>
      </c>
      <c r="J193" s="2" t="str">
        <f>"170"</f>
        <v>170</v>
      </c>
      <c r="K193" s="2" t="str">
        <f>"PRKWG2303M99170"</f>
        <v>PRKWG2303M99170</v>
      </c>
      <c r="L193" s="2" t="str">
        <f t="shared" si="235"/>
        <v>899</v>
      </c>
      <c r="M193" s="1">
        <v>2</v>
      </c>
      <c r="N193" s="1">
        <v>1798</v>
      </c>
      <c r="O193" s="1">
        <v>2</v>
      </c>
      <c r="P193" s="1">
        <v>1798</v>
      </c>
      <c r="Q193" s="1">
        <v>0</v>
      </c>
      <c r="R193" s="1">
        <v>0</v>
      </c>
      <c r="S193" s="1">
        <v>0</v>
      </c>
      <c r="T193" s="1">
        <v>0</v>
      </c>
      <c r="U193" s="1">
        <v>2</v>
      </c>
      <c r="V193" s="1">
        <v>1798</v>
      </c>
    </row>
    <row r="194" spans="1:22" x14ac:dyDescent="0.15">
      <c r="A194" s="2" t="str">
        <f t="shared" ref="A194:A196" si="236">"CE5H"</f>
        <v>CE5H</v>
      </c>
      <c r="B194" s="2" t="str">
        <f t="shared" ref="B194:B196" si="237">"华南支社"</f>
        <v>华南支社</v>
      </c>
      <c r="C194" s="2" t="str">
        <f t="shared" ref="C194:C196" si="238">"PR 深圳华南城华盛奥特莱斯(CE5H)"</f>
        <v>PR 深圳华南城华盛奥特莱斯(CE5H)</v>
      </c>
      <c r="D194" s="2" t="str">
        <f t="shared" si="231"/>
        <v>2026</v>
      </c>
      <c r="E194" s="2" t="str">
        <f t="shared" si="232"/>
        <v>夏</v>
      </c>
      <c r="F194" s="2" t="str">
        <f t="shared" si="233"/>
        <v>一般毛衣(SWEATER)(KW)</v>
      </c>
      <c r="H194" s="2" t="str">
        <f t="shared" si="234"/>
        <v>PRKWG2303M</v>
      </c>
      <c r="I194" s="2" t="str">
        <f t="shared" si="225"/>
        <v>(99)MIX99</v>
      </c>
      <c r="J194" s="2" t="str">
        <f t="shared" si="227"/>
        <v>160</v>
      </c>
      <c r="K194" s="2" t="str">
        <f>"PRKWG2303M99160"</f>
        <v>PRKWG2303M99160</v>
      </c>
      <c r="L194" s="2" t="str">
        <f t="shared" si="235"/>
        <v>899</v>
      </c>
      <c r="M194" s="1">
        <v>3</v>
      </c>
      <c r="N194" s="1">
        <v>2697</v>
      </c>
      <c r="O194" s="1">
        <v>3</v>
      </c>
      <c r="P194" s="1">
        <v>2697</v>
      </c>
      <c r="Q194" s="1">
        <v>0</v>
      </c>
      <c r="R194" s="1">
        <v>0</v>
      </c>
      <c r="S194" s="1">
        <v>0</v>
      </c>
      <c r="T194" s="1">
        <v>0</v>
      </c>
      <c r="U194" s="1">
        <v>3</v>
      </c>
      <c r="V194" s="1">
        <v>2697</v>
      </c>
    </row>
    <row r="195" spans="1:22" x14ac:dyDescent="0.15">
      <c r="A195" s="2" t="str">
        <f t="shared" si="236"/>
        <v>CE5H</v>
      </c>
      <c r="B195" s="2" t="str">
        <f t="shared" si="237"/>
        <v>华南支社</v>
      </c>
      <c r="C195" s="2" t="str">
        <f t="shared" si="238"/>
        <v>PR 深圳华南城华盛奥特莱斯(CE5H)</v>
      </c>
      <c r="D195" s="2" t="str">
        <f t="shared" si="231"/>
        <v>2026</v>
      </c>
      <c r="E195" s="2" t="str">
        <f t="shared" si="232"/>
        <v>夏</v>
      </c>
      <c r="F195" s="2" t="str">
        <f t="shared" si="233"/>
        <v>一般毛衣(SWEATER)(KW)</v>
      </c>
      <c r="H195" s="2" t="str">
        <f t="shared" si="234"/>
        <v>PRKWG2303M</v>
      </c>
      <c r="I195" s="2" t="str">
        <f t="shared" si="225"/>
        <v>(99)MIX99</v>
      </c>
      <c r="J195" s="2" t="str">
        <f>"165"</f>
        <v>165</v>
      </c>
      <c r="K195" s="2" t="str">
        <f>"PRKWG2303M99165"</f>
        <v>PRKWG2303M99165</v>
      </c>
      <c r="L195" s="2" t="str">
        <f t="shared" si="235"/>
        <v>899</v>
      </c>
      <c r="M195" s="1">
        <v>2</v>
      </c>
      <c r="N195" s="1">
        <v>1798</v>
      </c>
      <c r="O195" s="1">
        <v>2</v>
      </c>
      <c r="P195" s="1">
        <v>1798</v>
      </c>
      <c r="Q195" s="1">
        <v>0</v>
      </c>
      <c r="R195" s="1">
        <v>0</v>
      </c>
      <c r="S195" s="1">
        <v>0</v>
      </c>
      <c r="T195" s="1">
        <v>0</v>
      </c>
      <c r="U195" s="1">
        <v>2</v>
      </c>
      <c r="V195" s="1">
        <v>1798</v>
      </c>
    </row>
    <row r="196" spans="1:22" x14ac:dyDescent="0.15">
      <c r="A196" s="2" t="str">
        <f t="shared" si="236"/>
        <v>CE5H</v>
      </c>
      <c r="B196" s="2" t="str">
        <f t="shared" si="237"/>
        <v>华南支社</v>
      </c>
      <c r="C196" s="2" t="str">
        <f t="shared" si="238"/>
        <v>PR 深圳华南城华盛奥特莱斯(CE5H)</v>
      </c>
      <c r="D196" s="2" t="str">
        <f t="shared" si="231"/>
        <v>2026</v>
      </c>
      <c r="E196" s="2" t="str">
        <f t="shared" si="232"/>
        <v>夏</v>
      </c>
      <c r="F196" s="2" t="str">
        <f t="shared" si="233"/>
        <v>一般毛衣(SWEATER)(KW)</v>
      </c>
      <c r="H196" s="2" t="str">
        <f t="shared" si="234"/>
        <v>PRKWG2303M</v>
      </c>
      <c r="I196" s="2" t="str">
        <f t="shared" si="225"/>
        <v>(99)MIX99</v>
      </c>
      <c r="J196" s="2" t="str">
        <f>"170"</f>
        <v>170</v>
      </c>
      <c r="K196" s="2" t="str">
        <f>"PRKWG2303M99170"</f>
        <v>PRKWG2303M99170</v>
      </c>
      <c r="L196" s="2" t="str">
        <f t="shared" si="235"/>
        <v>899</v>
      </c>
      <c r="M196" s="1">
        <v>2</v>
      </c>
      <c r="N196" s="1">
        <v>1798</v>
      </c>
      <c r="O196" s="1">
        <v>2</v>
      </c>
      <c r="P196" s="1">
        <v>1798</v>
      </c>
      <c r="Q196" s="1">
        <v>0</v>
      </c>
      <c r="R196" s="1">
        <v>0</v>
      </c>
      <c r="S196" s="1">
        <v>0</v>
      </c>
      <c r="T196" s="1">
        <v>0</v>
      </c>
      <c r="U196" s="1">
        <v>2</v>
      </c>
      <c r="V196" s="1">
        <v>1798</v>
      </c>
    </row>
    <row r="197" spans="1:22" x14ac:dyDescent="0.15">
      <c r="A197" s="2" t="str">
        <f t="shared" ref="A197:A200" si="239">"CEKX"</f>
        <v>CEKX</v>
      </c>
      <c r="B197" s="2" t="str">
        <f t="shared" ref="B197:B202" si="240">"川南支社"</f>
        <v>川南支社</v>
      </c>
      <c r="C197" s="2" t="str">
        <f t="shared" ref="C197:C200" si="241">"PR 绵阳百盛大都会(CEKX)"</f>
        <v>PR 绵阳百盛大都会(CEKX)</v>
      </c>
      <c r="D197" s="2" t="str">
        <f t="shared" si="231"/>
        <v>2026</v>
      </c>
      <c r="E197" s="2" t="str">
        <f t="shared" si="232"/>
        <v>夏</v>
      </c>
      <c r="F197" s="2" t="str">
        <f t="shared" si="233"/>
        <v>一般毛衣(SWEATER)(KW)</v>
      </c>
      <c r="H197" s="2" t="str">
        <f t="shared" si="234"/>
        <v>PRKWG2303M</v>
      </c>
      <c r="I197" s="2" t="str">
        <f t="shared" si="225"/>
        <v>(99)MIX99</v>
      </c>
      <c r="J197" s="2" t="str">
        <f>"155"</f>
        <v>155</v>
      </c>
      <c r="K197" s="2" t="str">
        <f>"PRKWG2303M99155"</f>
        <v>PRKWG2303M99155</v>
      </c>
      <c r="L197" s="2" t="str">
        <f t="shared" si="235"/>
        <v>899</v>
      </c>
      <c r="M197" s="1">
        <v>1</v>
      </c>
      <c r="N197" s="1">
        <v>899</v>
      </c>
      <c r="O197" s="1">
        <v>1</v>
      </c>
      <c r="P197" s="1">
        <v>899</v>
      </c>
      <c r="Q197" s="1">
        <v>0</v>
      </c>
      <c r="R197" s="1">
        <v>0</v>
      </c>
      <c r="S197" s="1">
        <v>0</v>
      </c>
      <c r="T197" s="1">
        <v>0</v>
      </c>
      <c r="U197" s="1">
        <v>1</v>
      </c>
      <c r="V197" s="1">
        <v>899</v>
      </c>
    </row>
    <row r="198" spans="1:22" x14ac:dyDescent="0.15">
      <c r="A198" s="2" t="str">
        <f t="shared" si="239"/>
        <v>CEKX</v>
      </c>
      <c r="B198" s="2" t="str">
        <f t="shared" si="240"/>
        <v>川南支社</v>
      </c>
      <c r="C198" s="2" t="str">
        <f t="shared" si="241"/>
        <v>PR 绵阳百盛大都会(CEKX)</v>
      </c>
      <c r="D198" s="2" t="str">
        <f t="shared" si="231"/>
        <v>2026</v>
      </c>
      <c r="E198" s="2" t="str">
        <f t="shared" si="232"/>
        <v>夏</v>
      </c>
      <c r="F198" s="2" t="str">
        <f t="shared" si="233"/>
        <v>一般毛衣(SWEATER)(KW)</v>
      </c>
      <c r="H198" s="2" t="str">
        <f t="shared" si="234"/>
        <v>PRKWG2303M</v>
      </c>
      <c r="I198" s="2" t="str">
        <f t="shared" si="225"/>
        <v>(99)MIX99</v>
      </c>
      <c r="J198" s="2" t="str">
        <f t="shared" ref="J198:J203" si="242">"160"</f>
        <v>160</v>
      </c>
      <c r="K198" s="2" t="str">
        <f t="shared" ref="K198:K203" si="243">"PRKWG2303M99160"</f>
        <v>PRKWG2303M99160</v>
      </c>
      <c r="L198" s="2" t="str">
        <f t="shared" si="235"/>
        <v>899</v>
      </c>
      <c r="M198" s="1">
        <v>4</v>
      </c>
      <c r="N198" s="1">
        <v>3596</v>
      </c>
      <c r="O198" s="1">
        <v>4</v>
      </c>
      <c r="P198" s="1">
        <v>3596</v>
      </c>
      <c r="Q198" s="1">
        <v>0</v>
      </c>
      <c r="R198" s="1">
        <v>0</v>
      </c>
      <c r="S198" s="1">
        <v>0</v>
      </c>
      <c r="T198" s="1">
        <v>0</v>
      </c>
      <c r="U198" s="1">
        <v>4</v>
      </c>
      <c r="V198" s="1">
        <v>3596</v>
      </c>
    </row>
    <row r="199" spans="1:22" x14ac:dyDescent="0.15">
      <c r="A199" s="2" t="str">
        <f t="shared" si="239"/>
        <v>CEKX</v>
      </c>
      <c r="B199" s="2" t="str">
        <f t="shared" si="240"/>
        <v>川南支社</v>
      </c>
      <c r="C199" s="2" t="str">
        <f t="shared" si="241"/>
        <v>PR 绵阳百盛大都会(CEKX)</v>
      </c>
      <c r="D199" s="2" t="str">
        <f t="shared" si="231"/>
        <v>2026</v>
      </c>
      <c r="E199" s="2" t="str">
        <f t="shared" si="232"/>
        <v>夏</v>
      </c>
      <c r="F199" s="2" t="str">
        <f t="shared" si="233"/>
        <v>一般毛衣(SWEATER)(KW)</v>
      </c>
      <c r="H199" s="2" t="str">
        <f t="shared" si="234"/>
        <v>PRKWG2303M</v>
      </c>
      <c r="I199" s="2" t="str">
        <f t="shared" si="225"/>
        <v>(99)MIX99</v>
      </c>
      <c r="J199" s="2" t="str">
        <f t="shared" ref="J199:J204" si="244">"165"</f>
        <v>165</v>
      </c>
      <c r="K199" s="2" t="str">
        <f t="shared" ref="K199:K204" si="245">"PRKWG2303M99165"</f>
        <v>PRKWG2303M99165</v>
      </c>
      <c r="L199" s="2" t="str">
        <f t="shared" si="235"/>
        <v>899</v>
      </c>
      <c r="M199" s="1">
        <v>3</v>
      </c>
      <c r="N199" s="1">
        <v>2697</v>
      </c>
      <c r="O199" s="1">
        <v>3</v>
      </c>
      <c r="P199" s="1">
        <v>2697</v>
      </c>
      <c r="Q199" s="1">
        <v>0</v>
      </c>
      <c r="R199" s="1">
        <v>0</v>
      </c>
      <c r="S199" s="1">
        <v>0</v>
      </c>
      <c r="T199" s="1">
        <v>0</v>
      </c>
      <c r="U199" s="1">
        <v>3</v>
      </c>
      <c r="V199" s="1">
        <v>2697</v>
      </c>
    </row>
    <row r="200" spans="1:22" x14ac:dyDescent="0.15">
      <c r="A200" s="2" t="str">
        <f t="shared" si="239"/>
        <v>CEKX</v>
      </c>
      <c r="B200" s="2" t="str">
        <f t="shared" si="240"/>
        <v>川南支社</v>
      </c>
      <c r="C200" s="2" t="str">
        <f t="shared" si="241"/>
        <v>PR 绵阳百盛大都会(CEKX)</v>
      </c>
      <c r="D200" s="2" t="str">
        <f t="shared" si="231"/>
        <v>2026</v>
      </c>
      <c r="E200" s="2" t="str">
        <f t="shared" si="232"/>
        <v>夏</v>
      </c>
      <c r="F200" s="2" t="str">
        <f t="shared" si="233"/>
        <v>一般毛衣(SWEATER)(KW)</v>
      </c>
      <c r="H200" s="2" t="str">
        <f t="shared" si="234"/>
        <v>PRKWG2303M</v>
      </c>
      <c r="I200" s="2" t="str">
        <f t="shared" si="225"/>
        <v>(99)MIX99</v>
      </c>
      <c r="J200" s="2" t="str">
        <f>"170"</f>
        <v>170</v>
      </c>
      <c r="K200" s="2" t="str">
        <f>"PRKWG2303M99170"</f>
        <v>PRKWG2303M99170</v>
      </c>
      <c r="L200" s="2" t="str">
        <f t="shared" si="235"/>
        <v>899</v>
      </c>
      <c r="M200" s="1">
        <v>1</v>
      </c>
      <c r="N200" s="1">
        <v>899</v>
      </c>
      <c r="O200" s="1">
        <v>1</v>
      </c>
      <c r="P200" s="1">
        <v>899</v>
      </c>
      <c r="Q200" s="1">
        <v>0</v>
      </c>
      <c r="R200" s="1">
        <v>0</v>
      </c>
      <c r="S200" s="1">
        <v>0</v>
      </c>
      <c r="T200" s="1">
        <v>0</v>
      </c>
      <c r="U200" s="1">
        <v>1</v>
      </c>
      <c r="V200" s="1">
        <v>899</v>
      </c>
    </row>
    <row r="201" spans="1:22" x14ac:dyDescent="0.15">
      <c r="A201" s="2" t="str">
        <f>"CEVH"</f>
        <v>CEVH</v>
      </c>
      <c r="B201" s="2" t="str">
        <f t="shared" si="240"/>
        <v>川南支社</v>
      </c>
      <c r="C201" s="2" t="str">
        <f>"PR 泸州汇通(CEVH)"</f>
        <v>PR 泸州汇通(CEVH)</v>
      </c>
      <c r="D201" s="2" t="str">
        <f t="shared" si="231"/>
        <v>2026</v>
      </c>
      <c r="E201" s="2" t="str">
        <f t="shared" si="232"/>
        <v>夏</v>
      </c>
      <c r="F201" s="2" t="str">
        <f t="shared" si="233"/>
        <v>一般毛衣(SWEATER)(KW)</v>
      </c>
      <c r="H201" s="2" t="str">
        <f t="shared" si="234"/>
        <v>PRKWG2303M</v>
      </c>
      <c r="I201" s="2" t="str">
        <f t="shared" si="225"/>
        <v>(99)MIX99</v>
      </c>
      <c r="J201" s="2" t="str">
        <f t="shared" si="242"/>
        <v>160</v>
      </c>
      <c r="K201" s="2" t="str">
        <f t="shared" si="243"/>
        <v>PRKWG2303M99160</v>
      </c>
      <c r="L201" s="2" t="str">
        <f t="shared" si="235"/>
        <v>899</v>
      </c>
      <c r="M201" s="1">
        <v>2</v>
      </c>
      <c r="N201" s="1">
        <v>1798</v>
      </c>
      <c r="O201" s="1">
        <v>2</v>
      </c>
      <c r="P201" s="1">
        <v>1798</v>
      </c>
      <c r="Q201" s="1">
        <v>0</v>
      </c>
      <c r="R201" s="1">
        <v>0</v>
      </c>
      <c r="S201" s="1">
        <v>0</v>
      </c>
      <c r="T201" s="1">
        <v>0</v>
      </c>
      <c r="U201" s="1">
        <v>2</v>
      </c>
      <c r="V201" s="1">
        <v>1798</v>
      </c>
    </row>
    <row r="202" spans="1:22" x14ac:dyDescent="0.15">
      <c r="A202" s="2" t="str">
        <f>"CEVH"</f>
        <v>CEVH</v>
      </c>
      <c r="B202" s="2" t="str">
        <f t="shared" si="240"/>
        <v>川南支社</v>
      </c>
      <c r="C202" s="2" t="str">
        <f>"PR 泸州汇通(CEVH)"</f>
        <v>PR 泸州汇通(CEVH)</v>
      </c>
      <c r="D202" s="2" t="str">
        <f t="shared" si="231"/>
        <v>2026</v>
      </c>
      <c r="E202" s="2" t="str">
        <f t="shared" si="232"/>
        <v>夏</v>
      </c>
      <c r="F202" s="2" t="str">
        <f t="shared" si="233"/>
        <v>一般毛衣(SWEATER)(KW)</v>
      </c>
      <c r="H202" s="2" t="str">
        <f t="shared" si="234"/>
        <v>PRKWG2303M</v>
      </c>
      <c r="I202" s="2" t="str">
        <f t="shared" si="225"/>
        <v>(99)MIX99</v>
      </c>
      <c r="J202" s="2" t="str">
        <f t="shared" si="244"/>
        <v>165</v>
      </c>
      <c r="K202" s="2" t="str">
        <f t="shared" si="245"/>
        <v>PRKWG2303M99165</v>
      </c>
      <c r="L202" s="2" t="str">
        <f t="shared" si="235"/>
        <v>899</v>
      </c>
      <c r="M202" s="1">
        <v>1</v>
      </c>
      <c r="N202" s="1">
        <v>899</v>
      </c>
      <c r="O202" s="1">
        <v>1</v>
      </c>
      <c r="P202" s="1">
        <v>899</v>
      </c>
      <c r="Q202" s="1">
        <v>0</v>
      </c>
      <c r="R202" s="1">
        <v>0</v>
      </c>
      <c r="S202" s="1">
        <v>0</v>
      </c>
      <c r="T202" s="1">
        <v>0</v>
      </c>
      <c r="U202" s="1">
        <v>1</v>
      </c>
      <c r="V202" s="1">
        <v>899</v>
      </c>
    </row>
    <row r="203" spans="1:22" x14ac:dyDescent="0.15">
      <c r="A203" s="2" t="str">
        <f>"CF27"</f>
        <v>CF27</v>
      </c>
      <c r="B203" s="2" t="str">
        <f>"西北支社"</f>
        <v>西北支社</v>
      </c>
      <c r="C203" s="2" t="str">
        <f>"PR 西安西恩奥特莱斯(CF27)"</f>
        <v>PR 西安西恩奥特莱斯(CF27)</v>
      </c>
      <c r="D203" s="2" t="str">
        <f t="shared" si="231"/>
        <v>2026</v>
      </c>
      <c r="E203" s="2" t="str">
        <f t="shared" si="232"/>
        <v>夏</v>
      </c>
      <c r="F203" s="2" t="str">
        <f t="shared" si="233"/>
        <v>一般毛衣(SWEATER)(KW)</v>
      </c>
      <c r="H203" s="2" t="str">
        <f t="shared" si="234"/>
        <v>PRKWG2303M</v>
      </c>
      <c r="I203" s="2" t="str">
        <f t="shared" si="225"/>
        <v>(99)MIX99</v>
      </c>
      <c r="J203" s="2" t="str">
        <f t="shared" si="242"/>
        <v>160</v>
      </c>
      <c r="K203" s="2" t="str">
        <f t="shared" si="243"/>
        <v>PRKWG2303M99160</v>
      </c>
      <c r="L203" s="2" t="str">
        <f t="shared" si="235"/>
        <v>899</v>
      </c>
      <c r="M203" s="1">
        <v>3</v>
      </c>
      <c r="N203" s="1">
        <v>2697</v>
      </c>
      <c r="O203" s="1">
        <v>3</v>
      </c>
      <c r="P203" s="1">
        <v>2697</v>
      </c>
      <c r="Q203" s="1">
        <v>0</v>
      </c>
      <c r="R203" s="1">
        <v>0</v>
      </c>
      <c r="S203" s="1">
        <v>0</v>
      </c>
      <c r="T203" s="1">
        <v>0</v>
      </c>
      <c r="U203" s="1">
        <v>3</v>
      </c>
      <c r="V203" s="1">
        <v>2697</v>
      </c>
    </row>
    <row r="204" spans="1:22" x14ac:dyDescent="0.15">
      <c r="A204" s="2" t="str">
        <f>"CF27"</f>
        <v>CF27</v>
      </c>
      <c r="B204" s="2" t="str">
        <f>"西北支社"</f>
        <v>西北支社</v>
      </c>
      <c r="C204" s="2" t="str">
        <f>"PR 西安西恩奥特莱斯(CF27)"</f>
        <v>PR 西安西恩奥特莱斯(CF27)</v>
      </c>
      <c r="D204" s="2" t="str">
        <f t="shared" si="231"/>
        <v>2026</v>
      </c>
      <c r="E204" s="2" t="str">
        <f t="shared" si="232"/>
        <v>夏</v>
      </c>
      <c r="F204" s="2" t="str">
        <f t="shared" si="233"/>
        <v>一般毛衣(SWEATER)(KW)</v>
      </c>
      <c r="H204" s="2" t="str">
        <f t="shared" si="234"/>
        <v>PRKWG2303M</v>
      </c>
      <c r="I204" s="2" t="str">
        <f t="shared" si="225"/>
        <v>(99)MIX99</v>
      </c>
      <c r="J204" s="2" t="str">
        <f t="shared" si="244"/>
        <v>165</v>
      </c>
      <c r="K204" s="2" t="str">
        <f t="shared" si="245"/>
        <v>PRKWG2303M99165</v>
      </c>
      <c r="L204" s="2" t="str">
        <f t="shared" si="235"/>
        <v>899</v>
      </c>
      <c r="M204" s="1">
        <v>2</v>
      </c>
      <c r="N204" s="1">
        <v>1798</v>
      </c>
      <c r="O204" s="1">
        <v>2</v>
      </c>
      <c r="P204" s="1">
        <v>1798</v>
      </c>
      <c r="Q204" s="1">
        <v>0</v>
      </c>
      <c r="R204" s="1">
        <v>0</v>
      </c>
      <c r="S204" s="1">
        <v>0</v>
      </c>
      <c r="T204" s="1">
        <v>0</v>
      </c>
      <c r="U204" s="1">
        <v>2</v>
      </c>
      <c r="V204" s="1">
        <v>1798</v>
      </c>
    </row>
    <row r="205" spans="1:22" x14ac:dyDescent="0.15">
      <c r="A205" s="2" t="str">
        <f t="shared" ref="A205:A207" si="246">"CF2O"</f>
        <v>CF2O</v>
      </c>
      <c r="B205" s="2" t="str">
        <f t="shared" ref="B205:B207" si="247">"华东支社"</f>
        <v>华东支社</v>
      </c>
      <c r="C205" s="2" t="str">
        <f t="shared" ref="C205:C207" si="248">"PR 南京大洋江北店(CF2O)"</f>
        <v>PR 南京大洋江北店(CF2O)</v>
      </c>
      <c r="D205" s="2" t="str">
        <f t="shared" si="231"/>
        <v>2026</v>
      </c>
      <c r="E205" s="2" t="str">
        <f t="shared" si="232"/>
        <v>夏</v>
      </c>
      <c r="F205" s="2" t="str">
        <f t="shared" si="233"/>
        <v>一般毛衣(SWEATER)(KW)</v>
      </c>
      <c r="H205" s="2" t="str">
        <f t="shared" si="234"/>
        <v>PRKWG2303M</v>
      </c>
      <c r="I205" s="2" t="str">
        <f t="shared" si="225"/>
        <v>(99)MIX99</v>
      </c>
      <c r="J205" s="2" t="str">
        <f>"160"</f>
        <v>160</v>
      </c>
      <c r="K205" s="2" t="str">
        <f>"PRKWG2303M99160"</f>
        <v>PRKWG2303M99160</v>
      </c>
      <c r="L205" s="2" t="str">
        <f t="shared" si="235"/>
        <v>899</v>
      </c>
      <c r="M205" s="1">
        <v>1</v>
      </c>
      <c r="N205" s="1">
        <v>899</v>
      </c>
      <c r="O205" s="1">
        <v>1</v>
      </c>
      <c r="P205" s="1">
        <v>899</v>
      </c>
      <c r="Q205" s="1">
        <v>0</v>
      </c>
      <c r="R205" s="1">
        <v>0</v>
      </c>
      <c r="S205" s="1">
        <v>0</v>
      </c>
      <c r="T205" s="1">
        <v>0</v>
      </c>
      <c r="U205" s="1">
        <v>1</v>
      </c>
      <c r="V205" s="1">
        <v>899</v>
      </c>
    </row>
    <row r="206" spans="1:22" x14ac:dyDescent="0.15">
      <c r="A206" s="2" t="str">
        <f t="shared" si="246"/>
        <v>CF2O</v>
      </c>
      <c r="B206" s="2" t="str">
        <f t="shared" si="247"/>
        <v>华东支社</v>
      </c>
      <c r="C206" s="2" t="str">
        <f t="shared" si="248"/>
        <v>PR 南京大洋江北店(CF2O)</v>
      </c>
      <c r="D206" s="2" t="str">
        <f t="shared" si="231"/>
        <v>2026</v>
      </c>
      <c r="E206" s="2" t="str">
        <f t="shared" si="232"/>
        <v>夏</v>
      </c>
      <c r="F206" s="2" t="str">
        <f t="shared" si="233"/>
        <v>一般毛衣(SWEATER)(KW)</v>
      </c>
      <c r="H206" s="2" t="str">
        <f t="shared" si="234"/>
        <v>PRKWG2303M</v>
      </c>
      <c r="I206" s="2" t="str">
        <f t="shared" si="225"/>
        <v>(99)MIX99</v>
      </c>
      <c r="J206" s="2" t="str">
        <f>"165"</f>
        <v>165</v>
      </c>
      <c r="K206" s="2" t="str">
        <f>"PRKWG2303M99165"</f>
        <v>PRKWG2303M99165</v>
      </c>
      <c r="L206" s="2" t="str">
        <f t="shared" si="235"/>
        <v>899</v>
      </c>
      <c r="M206" s="1">
        <v>1</v>
      </c>
      <c r="N206" s="1">
        <v>899</v>
      </c>
      <c r="O206" s="1">
        <v>1</v>
      </c>
      <c r="P206" s="1">
        <v>899</v>
      </c>
      <c r="Q206" s="1">
        <v>0</v>
      </c>
      <c r="R206" s="1">
        <v>0</v>
      </c>
      <c r="S206" s="1">
        <v>0</v>
      </c>
      <c r="T206" s="1">
        <v>0</v>
      </c>
      <c r="U206" s="1">
        <v>1</v>
      </c>
      <c r="V206" s="1">
        <v>899</v>
      </c>
    </row>
    <row r="207" spans="1:22" x14ac:dyDescent="0.15">
      <c r="A207" s="2" t="str">
        <f t="shared" si="246"/>
        <v>CF2O</v>
      </c>
      <c r="B207" s="2" t="str">
        <f t="shared" si="247"/>
        <v>华东支社</v>
      </c>
      <c r="C207" s="2" t="str">
        <f t="shared" si="248"/>
        <v>PR 南京大洋江北店(CF2O)</v>
      </c>
      <c r="D207" s="2" t="str">
        <f t="shared" si="231"/>
        <v>2026</v>
      </c>
      <c r="E207" s="2" t="str">
        <f t="shared" si="232"/>
        <v>夏</v>
      </c>
      <c r="F207" s="2" t="str">
        <f t="shared" si="233"/>
        <v>一般毛衣(SWEATER)(KW)</v>
      </c>
      <c r="H207" s="2" t="str">
        <f t="shared" si="234"/>
        <v>PRKWG2303M</v>
      </c>
      <c r="I207" s="2" t="str">
        <f t="shared" si="225"/>
        <v>(99)MIX99</v>
      </c>
      <c r="J207" s="2" t="str">
        <f t="shared" ref="J207:J212" si="249">"170"</f>
        <v>170</v>
      </c>
      <c r="K207" s="2" t="str">
        <f t="shared" ref="K207:K212" si="250">"PRKWG2303M99170"</f>
        <v>PRKWG2303M99170</v>
      </c>
      <c r="L207" s="2" t="str">
        <f t="shared" si="235"/>
        <v>899</v>
      </c>
      <c r="M207" s="1">
        <v>1</v>
      </c>
      <c r="N207" s="1">
        <v>899</v>
      </c>
      <c r="O207" s="1">
        <v>1</v>
      </c>
      <c r="P207" s="1">
        <v>899</v>
      </c>
      <c r="Q207" s="1">
        <v>0</v>
      </c>
      <c r="R207" s="1">
        <v>0</v>
      </c>
      <c r="S207" s="1">
        <v>0</v>
      </c>
      <c r="T207" s="1">
        <v>0</v>
      </c>
      <c r="U207" s="1">
        <v>1</v>
      </c>
      <c r="V207" s="1">
        <v>899</v>
      </c>
    </row>
    <row r="208" spans="1:22" x14ac:dyDescent="0.15">
      <c r="A208" s="2" t="str">
        <f t="shared" ref="A208:A211" si="251">"CFC6"</f>
        <v>CFC6</v>
      </c>
      <c r="B208" s="2" t="str">
        <f t="shared" ref="B208:B211" si="252">"浙江支社"</f>
        <v>浙江支社</v>
      </c>
      <c r="C208" s="2" t="str">
        <f t="shared" ref="C208:C211" si="253">"PR 合肥砂之船(CFC6)"</f>
        <v>PR 合肥砂之船(CFC6)</v>
      </c>
      <c r="D208" s="2" t="str">
        <f t="shared" si="231"/>
        <v>2026</v>
      </c>
      <c r="E208" s="2" t="str">
        <f t="shared" si="232"/>
        <v>夏</v>
      </c>
      <c r="F208" s="2" t="str">
        <f t="shared" si="233"/>
        <v>一般毛衣(SWEATER)(KW)</v>
      </c>
      <c r="H208" s="2" t="str">
        <f t="shared" si="234"/>
        <v>PRKWG2303M</v>
      </c>
      <c r="I208" s="2" t="str">
        <f t="shared" si="225"/>
        <v>(99)MIX99</v>
      </c>
      <c r="J208" s="2" t="str">
        <f>"155"</f>
        <v>155</v>
      </c>
      <c r="K208" s="2" t="str">
        <f>"PRKWG2303M99155"</f>
        <v>PRKWG2303M99155</v>
      </c>
      <c r="L208" s="2" t="str">
        <f t="shared" si="235"/>
        <v>899</v>
      </c>
      <c r="M208" s="1">
        <v>1</v>
      </c>
      <c r="N208" s="1">
        <v>899</v>
      </c>
      <c r="O208" s="1">
        <v>1</v>
      </c>
      <c r="P208" s="1">
        <v>899</v>
      </c>
      <c r="Q208" s="1">
        <v>0</v>
      </c>
      <c r="R208" s="1">
        <v>0</v>
      </c>
      <c r="S208" s="1">
        <v>0</v>
      </c>
      <c r="T208" s="1">
        <v>0</v>
      </c>
      <c r="U208" s="1">
        <v>1</v>
      </c>
      <c r="V208" s="1">
        <v>899</v>
      </c>
    </row>
    <row r="209" spans="1:22" x14ac:dyDescent="0.15">
      <c r="A209" s="2" t="str">
        <f t="shared" si="251"/>
        <v>CFC6</v>
      </c>
      <c r="B209" s="2" t="str">
        <f t="shared" si="252"/>
        <v>浙江支社</v>
      </c>
      <c r="C209" s="2" t="str">
        <f t="shared" si="253"/>
        <v>PR 合肥砂之船(CFC6)</v>
      </c>
      <c r="D209" s="2" t="str">
        <f t="shared" si="231"/>
        <v>2026</v>
      </c>
      <c r="E209" s="2" t="str">
        <f t="shared" si="232"/>
        <v>夏</v>
      </c>
      <c r="F209" s="2" t="str">
        <f t="shared" si="233"/>
        <v>一般毛衣(SWEATER)(KW)</v>
      </c>
      <c r="H209" s="2" t="str">
        <f t="shared" si="234"/>
        <v>PRKWG2303M</v>
      </c>
      <c r="I209" s="2" t="str">
        <f t="shared" si="225"/>
        <v>(99)MIX99</v>
      </c>
      <c r="J209" s="2" t="str">
        <f>"160"</f>
        <v>160</v>
      </c>
      <c r="K209" s="2" t="str">
        <f>"PRKWG2303M99160"</f>
        <v>PRKWG2303M99160</v>
      </c>
      <c r="L209" s="2" t="str">
        <f t="shared" si="235"/>
        <v>899</v>
      </c>
      <c r="M209" s="1">
        <v>3</v>
      </c>
      <c r="N209" s="1">
        <v>2697</v>
      </c>
      <c r="O209" s="1">
        <v>3</v>
      </c>
      <c r="P209" s="1">
        <v>2697</v>
      </c>
      <c r="Q209" s="1">
        <v>0</v>
      </c>
      <c r="R209" s="1">
        <v>0</v>
      </c>
      <c r="S209" s="1">
        <v>0</v>
      </c>
      <c r="T209" s="1">
        <v>0</v>
      </c>
      <c r="U209" s="1">
        <v>3</v>
      </c>
      <c r="V209" s="1">
        <v>2697</v>
      </c>
    </row>
    <row r="210" spans="1:22" x14ac:dyDescent="0.15">
      <c r="A210" s="2" t="str">
        <f t="shared" si="251"/>
        <v>CFC6</v>
      </c>
      <c r="B210" s="2" t="str">
        <f t="shared" si="252"/>
        <v>浙江支社</v>
      </c>
      <c r="C210" s="2" t="str">
        <f t="shared" si="253"/>
        <v>PR 合肥砂之船(CFC6)</v>
      </c>
      <c r="D210" s="2" t="str">
        <f t="shared" si="231"/>
        <v>2026</v>
      </c>
      <c r="E210" s="2" t="str">
        <f t="shared" si="232"/>
        <v>夏</v>
      </c>
      <c r="F210" s="2" t="str">
        <f t="shared" si="233"/>
        <v>一般毛衣(SWEATER)(KW)</v>
      </c>
      <c r="H210" s="2" t="str">
        <f t="shared" si="234"/>
        <v>PRKWG2303M</v>
      </c>
      <c r="I210" s="2" t="str">
        <f t="shared" si="225"/>
        <v>(99)MIX99</v>
      </c>
      <c r="J210" s="2" t="str">
        <f>"165"</f>
        <v>165</v>
      </c>
      <c r="K210" s="2" t="str">
        <f>"PRKWG2303M99165"</f>
        <v>PRKWG2303M99165</v>
      </c>
      <c r="L210" s="2" t="str">
        <f t="shared" si="235"/>
        <v>899</v>
      </c>
      <c r="M210" s="1">
        <v>2</v>
      </c>
      <c r="N210" s="1">
        <v>1798</v>
      </c>
      <c r="O210" s="1">
        <v>2</v>
      </c>
      <c r="P210" s="1">
        <v>1798</v>
      </c>
      <c r="Q210" s="1">
        <v>0</v>
      </c>
      <c r="R210" s="1">
        <v>0</v>
      </c>
      <c r="S210" s="1">
        <v>0</v>
      </c>
      <c r="T210" s="1">
        <v>0</v>
      </c>
      <c r="U210" s="1">
        <v>2</v>
      </c>
      <c r="V210" s="1">
        <v>1798</v>
      </c>
    </row>
    <row r="211" spans="1:22" x14ac:dyDescent="0.15">
      <c r="A211" s="2" t="str">
        <f t="shared" si="251"/>
        <v>CFC6</v>
      </c>
      <c r="B211" s="2" t="str">
        <f t="shared" si="252"/>
        <v>浙江支社</v>
      </c>
      <c r="C211" s="2" t="str">
        <f t="shared" si="253"/>
        <v>PR 合肥砂之船(CFC6)</v>
      </c>
      <c r="D211" s="2" t="str">
        <f t="shared" si="231"/>
        <v>2026</v>
      </c>
      <c r="E211" s="2" t="str">
        <f t="shared" si="232"/>
        <v>夏</v>
      </c>
      <c r="F211" s="2" t="str">
        <f t="shared" si="233"/>
        <v>一般毛衣(SWEATER)(KW)</v>
      </c>
      <c r="H211" s="2" t="str">
        <f t="shared" si="234"/>
        <v>PRKWG2303M</v>
      </c>
      <c r="I211" s="2" t="str">
        <f t="shared" si="225"/>
        <v>(99)MIX99</v>
      </c>
      <c r="J211" s="2" t="str">
        <f t="shared" si="249"/>
        <v>170</v>
      </c>
      <c r="K211" s="2" t="str">
        <f t="shared" si="250"/>
        <v>PRKWG2303M99170</v>
      </c>
      <c r="L211" s="2" t="str">
        <f t="shared" si="235"/>
        <v>899</v>
      </c>
      <c r="M211" s="1">
        <v>3</v>
      </c>
      <c r="N211" s="1">
        <v>2697</v>
      </c>
      <c r="O211" s="1">
        <v>3</v>
      </c>
      <c r="P211" s="1">
        <v>2697</v>
      </c>
      <c r="Q211" s="1">
        <v>0</v>
      </c>
      <c r="R211" s="1">
        <v>0</v>
      </c>
      <c r="S211" s="1">
        <v>0</v>
      </c>
      <c r="T211" s="1">
        <v>0</v>
      </c>
      <c r="U211" s="1">
        <v>3</v>
      </c>
      <c r="V211" s="1">
        <v>2697</v>
      </c>
    </row>
    <row r="212" spans="1:22" x14ac:dyDescent="0.15">
      <c r="A212" s="2" t="str">
        <f>"CFEU"</f>
        <v>CFEU</v>
      </c>
      <c r="B212" s="2" t="str">
        <f>"电商-唯品会"</f>
        <v>电商-唯品会</v>
      </c>
      <c r="C212" s="2" t="str">
        <f>"PR VIP MALL 唯品会(VIP)(CFEU)"</f>
        <v>PR VIP MALL 唯品会(VIP)(CFEU)</v>
      </c>
      <c r="D212" s="2" t="str">
        <f t="shared" si="231"/>
        <v>2026</v>
      </c>
      <c r="E212" s="2" t="str">
        <f t="shared" si="232"/>
        <v>夏</v>
      </c>
      <c r="F212" s="2" t="str">
        <f t="shared" si="233"/>
        <v>一般毛衣(SWEATER)(KW)</v>
      </c>
      <c r="H212" s="2" t="str">
        <f t="shared" si="234"/>
        <v>PRKWG2303M</v>
      </c>
      <c r="I212" s="2" t="str">
        <f t="shared" si="225"/>
        <v>(99)MIX99</v>
      </c>
      <c r="J212" s="2" t="str">
        <f t="shared" si="249"/>
        <v>170</v>
      </c>
      <c r="K212" s="2" t="str">
        <f t="shared" si="250"/>
        <v>PRKWG2303M99170</v>
      </c>
      <c r="L212" s="2" t="str">
        <f t="shared" si="235"/>
        <v>899</v>
      </c>
      <c r="M212" s="1">
        <v>1</v>
      </c>
      <c r="N212" s="1">
        <v>899</v>
      </c>
      <c r="O212" s="1">
        <v>1</v>
      </c>
      <c r="P212" s="1">
        <v>899</v>
      </c>
      <c r="Q212" s="1">
        <v>0</v>
      </c>
      <c r="R212" s="1">
        <v>0</v>
      </c>
      <c r="S212" s="1">
        <v>0</v>
      </c>
      <c r="T212" s="1">
        <v>0</v>
      </c>
      <c r="U212" s="1">
        <v>1</v>
      </c>
      <c r="V212" s="1">
        <v>899</v>
      </c>
    </row>
    <row r="213" spans="1:22" x14ac:dyDescent="0.15">
      <c r="A213" s="2" t="str">
        <f t="shared" ref="A213:A215" si="254">"CFMU"</f>
        <v>CFMU</v>
      </c>
      <c r="B213" s="2" t="str">
        <f t="shared" ref="B213:B215" si="255">"上海支社"</f>
        <v>上海支社</v>
      </c>
      <c r="C213" s="2" t="str">
        <f t="shared" ref="C213:C215" si="256">"PR 天山店(CFMU)"</f>
        <v>PR 天山店(CFMU)</v>
      </c>
      <c r="D213" s="2" t="str">
        <f t="shared" si="231"/>
        <v>2026</v>
      </c>
      <c r="E213" s="2" t="str">
        <f t="shared" si="232"/>
        <v>夏</v>
      </c>
      <c r="F213" s="2" t="str">
        <f t="shared" si="233"/>
        <v>一般毛衣(SWEATER)(KW)</v>
      </c>
      <c r="H213" s="2" t="str">
        <f t="shared" si="234"/>
        <v>PRKWG2303M</v>
      </c>
      <c r="I213" s="2" t="str">
        <f t="shared" ref="I213:I235" si="257">"(99)MIX99"</f>
        <v>(99)MIX99</v>
      </c>
      <c r="J213" s="2" t="str">
        <f t="shared" ref="J213:J216" si="258">"160"</f>
        <v>160</v>
      </c>
      <c r="K213" s="2" t="str">
        <f>"PRKWG2303M99160"</f>
        <v>PRKWG2303M99160</v>
      </c>
      <c r="L213" s="2" t="str">
        <f t="shared" si="235"/>
        <v>899</v>
      </c>
      <c r="M213" s="1">
        <v>2</v>
      </c>
      <c r="N213" s="1">
        <v>1798</v>
      </c>
      <c r="O213" s="1">
        <v>2</v>
      </c>
      <c r="P213" s="1">
        <v>1798</v>
      </c>
      <c r="Q213" s="1">
        <v>0</v>
      </c>
      <c r="R213" s="1">
        <v>0</v>
      </c>
      <c r="S213" s="1">
        <v>0</v>
      </c>
      <c r="T213" s="1">
        <v>0</v>
      </c>
      <c r="U213" s="1">
        <v>2</v>
      </c>
      <c r="V213" s="1">
        <v>1798</v>
      </c>
    </row>
    <row r="214" spans="1:22" x14ac:dyDescent="0.15">
      <c r="A214" s="2" t="str">
        <f t="shared" si="254"/>
        <v>CFMU</v>
      </c>
      <c r="B214" s="2" t="str">
        <f t="shared" si="255"/>
        <v>上海支社</v>
      </c>
      <c r="C214" s="2" t="str">
        <f t="shared" si="256"/>
        <v>PR 天山店(CFMU)</v>
      </c>
      <c r="D214" s="2" t="str">
        <f t="shared" si="231"/>
        <v>2026</v>
      </c>
      <c r="E214" s="2" t="str">
        <f t="shared" si="232"/>
        <v>夏</v>
      </c>
      <c r="F214" s="2" t="str">
        <f t="shared" si="233"/>
        <v>一般毛衣(SWEATER)(KW)</v>
      </c>
      <c r="H214" s="2" t="str">
        <f t="shared" si="234"/>
        <v>PRKWG2303M</v>
      </c>
      <c r="I214" s="2" t="str">
        <f t="shared" si="257"/>
        <v>(99)MIX99</v>
      </c>
      <c r="J214" s="2" t="str">
        <f t="shared" ref="J214:J217" si="259">"165"</f>
        <v>165</v>
      </c>
      <c r="K214" s="2" t="str">
        <f>"PRKWG2303M99165"</f>
        <v>PRKWG2303M99165</v>
      </c>
      <c r="L214" s="2" t="str">
        <f t="shared" si="235"/>
        <v>899</v>
      </c>
      <c r="M214" s="1">
        <v>2</v>
      </c>
      <c r="N214" s="1">
        <v>1798</v>
      </c>
      <c r="O214" s="1">
        <v>2</v>
      </c>
      <c r="P214" s="1">
        <v>1798</v>
      </c>
      <c r="Q214" s="1">
        <v>0</v>
      </c>
      <c r="R214" s="1">
        <v>0</v>
      </c>
      <c r="S214" s="1">
        <v>0</v>
      </c>
      <c r="T214" s="1">
        <v>0</v>
      </c>
      <c r="U214" s="1">
        <v>2</v>
      </c>
      <c r="V214" s="1">
        <v>1798</v>
      </c>
    </row>
    <row r="215" spans="1:22" x14ac:dyDescent="0.15">
      <c r="A215" s="2" t="str">
        <f t="shared" si="254"/>
        <v>CFMU</v>
      </c>
      <c r="B215" s="2" t="str">
        <f t="shared" si="255"/>
        <v>上海支社</v>
      </c>
      <c r="C215" s="2" t="str">
        <f t="shared" si="256"/>
        <v>PR 天山店(CFMU)</v>
      </c>
      <c r="D215" s="2" t="str">
        <f t="shared" si="231"/>
        <v>2026</v>
      </c>
      <c r="E215" s="2" t="str">
        <f t="shared" si="232"/>
        <v>夏</v>
      </c>
      <c r="F215" s="2" t="str">
        <f t="shared" si="233"/>
        <v>一般毛衣(SWEATER)(KW)</v>
      </c>
      <c r="H215" s="2" t="str">
        <f t="shared" si="234"/>
        <v>PRKWG2303M</v>
      </c>
      <c r="I215" s="2" t="str">
        <f t="shared" si="257"/>
        <v>(99)MIX99</v>
      </c>
      <c r="J215" s="2" t="str">
        <f>"170"</f>
        <v>170</v>
      </c>
      <c r="K215" s="2" t="str">
        <f>"PRKWG2303M99170"</f>
        <v>PRKWG2303M99170</v>
      </c>
      <c r="L215" s="2" t="str">
        <f t="shared" si="235"/>
        <v>899</v>
      </c>
      <c r="M215" s="1">
        <v>1</v>
      </c>
      <c r="N215" s="1">
        <v>899</v>
      </c>
      <c r="O215" s="1">
        <v>1</v>
      </c>
      <c r="P215" s="1">
        <v>899</v>
      </c>
      <c r="Q215" s="1">
        <v>0</v>
      </c>
      <c r="R215" s="1">
        <v>0</v>
      </c>
      <c r="S215" s="1">
        <v>0</v>
      </c>
      <c r="T215" s="1">
        <v>0</v>
      </c>
      <c r="U215" s="1">
        <v>1</v>
      </c>
      <c r="V215" s="1">
        <v>899</v>
      </c>
    </row>
    <row r="216" spans="1:22" x14ac:dyDescent="0.15">
      <c r="A216" s="2" t="str">
        <f t="shared" ref="A216:A218" si="260">"CFPW"</f>
        <v>CFPW</v>
      </c>
      <c r="B216" s="2" t="str">
        <f t="shared" ref="B216:B218" si="261">"北京支社"</f>
        <v>北京支社</v>
      </c>
      <c r="C216" s="2" t="str">
        <f t="shared" ref="C216:C218" si="262">"PR 呼和浩特王府井奥莱(CFPW)"</f>
        <v>PR 呼和浩特王府井奥莱(CFPW)</v>
      </c>
      <c r="D216" s="2" t="str">
        <f t="shared" si="231"/>
        <v>2026</v>
      </c>
      <c r="E216" s="2" t="str">
        <f t="shared" si="232"/>
        <v>夏</v>
      </c>
      <c r="F216" s="2" t="str">
        <f t="shared" si="233"/>
        <v>一般毛衣(SWEATER)(KW)</v>
      </c>
      <c r="H216" s="2" t="str">
        <f t="shared" si="234"/>
        <v>PRKWG2303M</v>
      </c>
      <c r="I216" s="2" t="str">
        <f t="shared" si="257"/>
        <v>(99)MIX99</v>
      </c>
      <c r="J216" s="2" t="str">
        <f t="shared" si="258"/>
        <v>160</v>
      </c>
      <c r="K216" s="2" t="str">
        <f>"PRKWG2303M99160"</f>
        <v>PRKWG2303M99160</v>
      </c>
      <c r="L216" s="2" t="str">
        <f t="shared" si="235"/>
        <v>899</v>
      </c>
      <c r="M216" s="1">
        <v>3</v>
      </c>
      <c r="N216" s="1">
        <v>2697</v>
      </c>
      <c r="O216" s="1">
        <v>3</v>
      </c>
      <c r="P216" s="1">
        <v>2697</v>
      </c>
      <c r="Q216" s="1">
        <v>0</v>
      </c>
      <c r="R216" s="1">
        <v>0</v>
      </c>
      <c r="S216" s="1">
        <v>2</v>
      </c>
      <c r="T216" s="1">
        <v>1798</v>
      </c>
      <c r="U216" s="1">
        <v>5</v>
      </c>
      <c r="V216" s="1">
        <v>4495</v>
      </c>
    </row>
    <row r="217" spans="1:22" x14ac:dyDescent="0.15">
      <c r="A217" s="2" t="str">
        <f t="shared" si="260"/>
        <v>CFPW</v>
      </c>
      <c r="B217" s="2" t="str">
        <f t="shared" si="261"/>
        <v>北京支社</v>
      </c>
      <c r="C217" s="2" t="str">
        <f t="shared" si="262"/>
        <v>PR 呼和浩特王府井奥莱(CFPW)</v>
      </c>
      <c r="D217" s="2" t="str">
        <f t="shared" si="231"/>
        <v>2026</v>
      </c>
      <c r="E217" s="2" t="str">
        <f t="shared" si="232"/>
        <v>夏</v>
      </c>
      <c r="F217" s="2" t="str">
        <f t="shared" si="233"/>
        <v>一般毛衣(SWEATER)(KW)</v>
      </c>
      <c r="H217" s="2" t="str">
        <f t="shared" si="234"/>
        <v>PRKWG2303M</v>
      </c>
      <c r="I217" s="2" t="str">
        <f t="shared" si="257"/>
        <v>(99)MIX99</v>
      </c>
      <c r="J217" s="2" t="str">
        <f t="shared" si="259"/>
        <v>165</v>
      </c>
      <c r="K217" s="2" t="str">
        <f>"PRKWG2303M99165"</f>
        <v>PRKWG2303M99165</v>
      </c>
      <c r="L217" s="2" t="str">
        <f t="shared" si="235"/>
        <v>899</v>
      </c>
      <c r="M217" s="1">
        <v>4</v>
      </c>
      <c r="N217" s="1">
        <v>3596</v>
      </c>
      <c r="O217" s="1">
        <v>4</v>
      </c>
      <c r="P217" s="1">
        <v>3596</v>
      </c>
      <c r="Q217" s="1">
        <v>0</v>
      </c>
      <c r="R217" s="1">
        <v>0</v>
      </c>
      <c r="S217" s="1">
        <v>0</v>
      </c>
      <c r="T217" s="1">
        <v>0</v>
      </c>
      <c r="U217" s="1">
        <v>4</v>
      </c>
      <c r="V217" s="1">
        <v>3596</v>
      </c>
    </row>
    <row r="218" spans="1:22" x14ac:dyDescent="0.15">
      <c r="A218" s="2" t="str">
        <f t="shared" si="260"/>
        <v>CFPW</v>
      </c>
      <c r="B218" s="2" t="str">
        <f t="shared" si="261"/>
        <v>北京支社</v>
      </c>
      <c r="C218" s="2" t="str">
        <f t="shared" si="262"/>
        <v>PR 呼和浩特王府井奥莱(CFPW)</v>
      </c>
      <c r="D218" s="2" t="str">
        <f t="shared" si="231"/>
        <v>2026</v>
      </c>
      <c r="E218" s="2" t="str">
        <f t="shared" si="232"/>
        <v>夏</v>
      </c>
      <c r="F218" s="2" t="str">
        <f t="shared" si="233"/>
        <v>一般毛衣(SWEATER)(KW)</v>
      </c>
      <c r="H218" s="2" t="str">
        <f t="shared" si="234"/>
        <v>PRKWG2303M</v>
      </c>
      <c r="I218" s="2" t="str">
        <f t="shared" si="257"/>
        <v>(99)MIX99</v>
      </c>
      <c r="J218" s="2" t="str">
        <f>"170"</f>
        <v>170</v>
      </c>
      <c r="K218" s="2" t="str">
        <f>"PRKWG2303M99170"</f>
        <v>PRKWG2303M99170</v>
      </c>
      <c r="L218" s="2" t="str">
        <f t="shared" si="235"/>
        <v>899</v>
      </c>
      <c r="M218" s="1">
        <v>1</v>
      </c>
      <c r="N218" s="1">
        <v>899</v>
      </c>
      <c r="O218" s="1">
        <v>1</v>
      </c>
      <c r="P218" s="1">
        <v>899</v>
      </c>
      <c r="Q218" s="1">
        <v>0</v>
      </c>
      <c r="R218" s="1">
        <v>0</v>
      </c>
      <c r="S218" s="1">
        <v>0</v>
      </c>
      <c r="T218" s="1">
        <v>0</v>
      </c>
      <c r="U218" s="1">
        <v>1</v>
      </c>
      <c r="V218" s="1">
        <v>899</v>
      </c>
    </row>
    <row r="219" spans="1:22" x14ac:dyDescent="0.15">
      <c r="A219" s="2" t="str">
        <f>"CFQA"</f>
        <v>CFQA</v>
      </c>
      <c r="B219" s="2" t="str">
        <f>"重庆支社"</f>
        <v>重庆支社</v>
      </c>
      <c r="C219" s="2" t="str">
        <f>"PR 重庆江南商都(CFQA)"</f>
        <v>PR 重庆江南商都(CFQA)</v>
      </c>
      <c r="D219" s="2" t="str">
        <f t="shared" si="231"/>
        <v>2026</v>
      </c>
      <c r="E219" s="2" t="str">
        <f t="shared" si="232"/>
        <v>夏</v>
      </c>
      <c r="F219" s="2" t="str">
        <f t="shared" si="233"/>
        <v>一般毛衣(SWEATER)(KW)</v>
      </c>
      <c r="H219" s="2" t="str">
        <f t="shared" si="234"/>
        <v>PRKWG2303M</v>
      </c>
      <c r="I219" s="2" t="str">
        <f t="shared" si="257"/>
        <v>(99)MIX99</v>
      </c>
      <c r="J219" s="2" t="str">
        <f>"160"</f>
        <v>160</v>
      </c>
      <c r="K219" s="2" t="str">
        <f>"PRKWG2303M99160"</f>
        <v>PRKWG2303M99160</v>
      </c>
      <c r="L219" s="2" t="str">
        <f t="shared" si="235"/>
        <v>899</v>
      </c>
      <c r="M219" s="1">
        <v>2</v>
      </c>
      <c r="N219" s="1">
        <v>1798</v>
      </c>
      <c r="O219" s="1">
        <v>2</v>
      </c>
      <c r="P219" s="1">
        <v>1798</v>
      </c>
      <c r="Q219" s="1">
        <v>0</v>
      </c>
      <c r="R219" s="1">
        <v>0</v>
      </c>
      <c r="S219" s="1">
        <v>0</v>
      </c>
      <c r="T219" s="1">
        <v>0</v>
      </c>
      <c r="U219" s="1">
        <v>2</v>
      </c>
      <c r="V219" s="1">
        <v>1798</v>
      </c>
    </row>
    <row r="220" spans="1:22" x14ac:dyDescent="0.15">
      <c r="A220" s="2" t="str">
        <f>"CFQA"</f>
        <v>CFQA</v>
      </c>
      <c r="B220" s="2" t="str">
        <f>"重庆支社"</f>
        <v>重庆支社</v>
      </c>
      <c r="C220" s="2" t="str">
        <f>"PR 重庆江南商都(CFQA)"</f>
        <v>PR 重庆江南商都(CFQA)</v>
      </c>
      <c r="D220" s="2" t="str">
        <f t="shared" si="231"/>
        <v>2026</v>
      </c>
      <c r="E220" s="2" t="str">
        <f t="shared" si="232"/>
        <v>夏</v>
      </c>
      <c r="F220" s="2" t="str">
        <f t="shared" si="233"/>
        <v>一般毛衣(SWEATER)(KW)</v>
      </c>
      <c r="H220" s="2" t="str">
        <f t="shared" si="234"/>
        <v>PRKWG2303M</v>
      </c>
      <c r="I220" s="2" t="str">
        <f t="shared" si="257"/>
        <v>(99)MIX99</v>
      </c>
      <c r="J220" s="2" t="str">
        <f>"165"</f>
        <v>165</v>
      </c>
      <c r="K220" s="2" t="str">
        <f>"PRKWG2303M99165"</f>
        <v>PRKWG2303M99165</v>
      </c>
      <c r="L220" s="2" t="str">
        <f t="shared" si="235"/>
        <v>899</v>
      </c>
      <c r="M220" s="1">
        <v>1</v>
      </c>
      <c r="N220" s="1">
        <v>899</v>
      </c>
      <c r="O220" s="1">
        <v>1</v>
      </c>
      <c r="P220" s="1">
        <v>899</v>
      </c>
      <c r="Q220" s="1">
        <v>0</v>
      </c>
      <c r="R220" s="1">
        <v>0</v>
      </c>
      <c r="S220" s="1">
        <v>0</v>
      </c>
      <c r="T220" s="1">
        <v>0</v>
      </c>
      <c r="U220" s="1">
        <v>1</v>
      </c>
      <c r="V220" s="1">
        <v>899</v>
      </c>
    </row>
    <row r="221" spans="1:22" x14ac:dyDescent="0.15">
      <c r="A221" s="2" t="str">
        <f t="shared" ref="A221:A224" si="263">"CG7D"</f>
        <v>CG7D</v>
      </c>
      <c r="B221" s="2" t="str">
        <f t="shared" ref="B221:B224" si="264">"川西支社"</f>
        <v>川西支社</v>
      </c>
      <c r="C221" s="2" t="str">
        <f t="shared" ref="C221:C224" si="265">"PR 成都优客城市奥莱(CG7D)"</f>
        <v>PR 成都优客城市奥莱(CG7D)</v>
      </c>
      <c r="D221" s="2" t="str">
        <f t="shared" si="231"/>
        <v>2026</v>
      </c>
      <c r="E221" s="2" t="str">
        <f t="shared" si="232"/>
        <v>夏</v>
      </c>
      <c r="F221" s="2" t="str">
        <f t="shared" si="233"/>
        <v>一般毛衣(SWEATER)(KW)</v>
      </c>
      <c r="H221" s="2" t="str">
        <f t="shared" si="234"/>
        <v>PRKWG2303M</v>
      </c>
      <c r="I221" s="2" t="str">
        <f t="shared" si="257"/>
        <v>(99)MIX99</v>
      </c>
      <c r="J221" s="2" t="str">
        <f>"155"</f>
        <v>155</v>
      </c>
      <c r="K221" s="2" t="str">
        <f>"PRKWG2303M99155"</f>
        <v>PRKWG2303M99155</v>
      </c>
      <c r="L221" s="2" t="str">
        <f t="shared" si="235"/>
        <v>899</v>
      </c>
      <c r="M221" s="1">
        <v>0</v>
      </c>
      <c r="N221" s="1">
        <v>0</v>
      </c>
      <c r="O221" s="1">
        <v>0</v>
      </c>
      <c r="P221" s="1">
        <v>0</v>
      </c>
      <c r="Q221" s="1">
        <v>0</v>
      </c>
      <c r="R221" s="1">
        <v>0</v>
      </c>
      <c r="S221" s="1">
        <v>1</v>
      </c>
      <c r="T221" s="1">
        <v>899</v>
      </c>
      <c r="U221" s="1">
        <v>1</v>
      </c>
      <c r="V221" s="1">
        <v>899</v>
      </c>
    </row>
    <row r="222" spans="1:22" x14ac:dyDescent="0.15">
      <c r="A222" s="2" t="str">
        <f t="shared" si="263"/>
        <v>CG7D</v>
      </c>
      <c r="B222" s="2" t="str">
        <f t="shared" si="264"/>
        <v>川西支社</v>
      </c>
      <c r="C222" s="2" t="str">
        <f t="shared" si="265"/>
        <v>PR 成都优客城市奥莱(CG7D)</v>
      </c>
      <c r="D222" s="2" t="str">
        <f t="shared" si="231"/>
        <v>2026</v>
      </c>
      <c r="E222" s="2" t="str">
        <f t="shared" si="232"/>
        <v>夏</v>
      </c>
      <c r="F222" s="2" t="str">
        <f t="shared" si="233"/>
        <v>一般毛衣(SWEATER)(KW)</v>
      </c>
      <c r="H222" s="2" t="str">
        <f t="shared" si="234"/>
        <v>PRKWG2303M</v>
      </c>
      <c r="I222" s="2" t="str">
        <f t="shared" si="257"/>
        <v>(99)MIX99</v>
      </c>
      <c r="J222" s="2" t="str">
        <f>"160"</f>
        <v>160</v>
      </c>
      <c r="K222" s="2" t="str">
        <f>"PRKWG2303M99160"</f>
        <v>PRKWG2303M99160</v>
      </c>
      <c r="L222" s="2" t="str">
        <f t="shared" si="235"/>
        <v>899</v>
      </c>
      <c r="M222" s="1">
        <v>0</v>
      </c>
      <c r="N222" s="1">
        <v>0</v>
      </c>
      <c r="O222" s="1">
        <v>0</v>
      </c>
      <c r="P222" s="1">
        <v>0</v>
      </c>
      <c r="Q222" s="1">
        <v>0</v>
      </c>
      <c r="R222" s="1">
        <v>0</v>
      </c>
      <c r="S222" s="1">
        <v>2</v>
      </c>
      <c r="T222" s="1">
        <v>1798</v>
      </c>
      <c r="U222" s="1">
        <v>2</v>
      </c>
      <c r="V222" s="1">
        <v>1798</v>
      </c>
    </row>
    <row r="223" spans="1:22" x14ac:dyDescent="0.15">
      <c r="A223" s="2" t="str">
        <f t="shared" si="263"/>
        <v>CG7D</v>
      </c>
      <c r="B223" s="2" t="str">
        <f t="shared" si="264"/>
        <v>川西支社</v>
      </c>
      <c r="C223" s="2" t="str">
        <f t="shared" si="265"/>
        <v>PR 成都优客城市奥莱(CG7D)</v>
      </c>
      <c r="D223" s="2" t="str">
        <f t="shared" si="231"/>
        <v>2026</v>
      </c>
      <c r="E223" s="2" t="str">
        <f t="shared" si="232"/>
        <v>夏</v>
      </c>
      <c r="F223" s="2" t="str">
        <f t="shared" si="233"/>
        <v>一般毛衣(SWEATER)(KW)</v>
      </c>
      <c r="H223" s="2" t="str">
        <f t="shared" si="234"/>
        <v>PRKWG2303M</v>
      </c>
      <c r="I223" s="2" t="str">
        <f t="shared" si="257"/>
        <v>(99)MIX99</v>
      </c>
      <c r="J223" s="2" t="str">
        <f>"165"</f>
        <v>165</v>
      </c>
      <c r="K223" s="2" t="str">
        <f>"PRKWG2303M99165"</f>
        <v>PRKWG2303M99165</v>
      </c>
      <c r="L223" s="2" t="str">
        <f t="shared" si="235"/>
        <v>899</v>
      </c>
      <c r="M223" s="1">
        <v>0</v>
      </c>
      <c r="N223" s="1">
        <v>0</v>
      </c>
      <c r="O223" s="1">
        <v>0</v>
      </c>
      <c r="P223" s="1">
        <v>0</v>
      </c>
      <c r="Q223" s="1">
        <v>0</v>
      </c>
      <c r="R223" s="1">
        <v>0</v>
      </c>
      <c r="S223" s="1">
        <v>1</v>
      </c>
      <c r="T223" s="1">
        <v>899</v>
      </c>
      <c r="U223" s="1">
        <v>1</v>
      </c>
      <c r="V223" s="1">
        <v>899</v>
      </c>
    </row>
    <row r="224" spans="1:22" x14ac:dyDescent="0.15">
      <c r="A224" s="2" t="str">
        <f t="shared" si="263"/>
        <v>CG7D</v>
      </c>
      <c r="B224" s="2" t="str">
        <f t="shared" si="264"/>
        <v>川西支社</v>
      </c>
      <c r="C224" s="2" t="str">
        <f t="shared" si="265"/>
        <v>PR 成都优客城市奥莱(CG7D)</v>
      </c>
      <c r="D224" s="2" t="str">
        <f t="shared" si="231"/>
        <v>2026</v>
      </c>
      <c r="E224" s="2" t="str">
        <f t="shared" si="232"/>
        <v>夏</v>
      </c>
      <c r="F224" s="2" t="str">
        <f t="shared" si="233"/>
        <v>一般毛衣(SWEATER)(KW)</v>
      </c>
      <c r="H224" s="2" t="str">
        <f t="shared" si="234"/>
        <v>PRKWG2303M</v>
      </c>
      <c r="I224" s="2" t="str">
        <f t="shared" si="257"/>
        <v>(99)MIX99</v>
      </c>
      <c r="J224" s="2" t="str">
        <f>"170"</f>
        <v>170</v>
      </c>
      <c r="K224" s="2" t="str">
        <f>"PRKWG2303M99170"</f>
        <v>PRKWG2303M99170</v>
      </c>
      <c r="L224" s="2" t="str">
        <f t="shared" si="235"/>
        <v>899</v>
      </c>
      <c r="M224" s="1">
        <v>0</v>
      </c>
      <c r="N224" s="1">
        <v>0</v>
      </c>
      <c r="O224" s="1">
        <v>0</v>
      </c>
      <c r="P224" s="1">
        <v>0</v>
      </c>
      <c r="Q224" s="1">
        <v>0</v>
      </c>
      <c r="R224" s="1">
        <v>0</v>
      </c>
      <c r="S224" s="1">
        <v>1</v>
      </c>
      <c r="T224" s="1">
        <v>899</v>
      </c>
      <c r="U224" s="1">
        <v>1</v>
      </c>
      <c r="V224" s="1">
        <v>899</v>
      </c>
    </row>
    <row r="225" spans="1:22" x14ac:dyDescent="0.15">
      <c r="A225" s="2" t="str">
        <f t="shared" ref="A225:A227" si="266">"CGG1"</f>
        <v>CGG1</v>
      </c>
      <c r="B225" s="2" t="str">
        <f t="shared" ref="B225:B227" si="267">"西北支社"</f>
        <v>西北支社</v>
      </c>
      <c r="C225" s="2" t="str">
        <f t="shared" ref="C225:C227" si="268">"PR 西安王府井赛特奥特莱斯(CGG1)"</f>
        <v>PR 西安王府井赛特奥特莱斯(CGG1)</v>
      </c>
      <c r="D225" s="2" t="str">
        <f t="shared" si="231"/>
        <v>2026</v>
      </c>
      <c r="E225" s="2" t="str">
        <f t="shared" si="232"/>
        <v>夏</v>
      </c>
      <c r="F225" s="2" t="str">
        <f t="shared" si="233"/>
        <v>一般毛衣(SWEATER)(KW)</v>
      </c>
      <c r="H225" s="2" t="str">
        <f t="shared" si="234"/>
        <v>PRKWG2303M</v>
      </c>
      <c r="I225" s="2" t="str">
        <f t="shared" si="257"/>
        <v>(99)MIX99</v>
      </c>
      <c r="J225" s="2" t="str">
        <f>"155"</f>
        <v>155</v>
      </c>
      <c r="K225" s="2" t="str">
        <f>"PRKWG2303M99155"</f>
        <v>PRKWG2303M99155</v>
      </c>
      <c r="L225" s="2" t="str">
        <f t="shared" si="235"/>
        <v>899</v>
      </c>
      <c r="M225" s="1">
        <v>3</v>
      </c>
      <c r="N225" s="1">
        <v>2697</v>
      </c>
      <c r="O225" s="1">
        <v>3</v>
      </c>
      <c r="P225" s="1">
        <v>2697</v>
      </c>
      <c r="Q225" s="1">
        <v>0</v>
      </c>
      <c r="R225" s="1">
        <v>0</v>
      </c>
      <c r="S225" s="1">
        <v>0</v>
      </c>
      <c r="T225" s="1">
        <v>0</v>
      </c>
      <c r="U225" s="1">
        <v>3</v>
      </c>
      <c r="V225" s="1">
        <v>2697</v>
      </c>
    </row>
    <row r="226" spans="1:22" x14ac:dyDescent="0.15">
      <c r="A226" s="2" t="str">
        <f t="shared" si="266"/>
        <v>CGG1</v>
      </c>
      <c r="B226" s="2" t="str">
        <f t="shared" si="267"/>
        <v>西北支社</v>
      </c>
      <c r="C226" s="2" t="str">
        <f t="shared" si="268"/>
        <v>PR 西安王府井赛特奥特莱斯(CGG1)</v>
      </c>
      <c r="D226" s="2" t="str">
        <f t="shared" si="231"/>
        <v>2026</v>
      </c>
      <c r="E226" s="2" t="str">
        <f t="shared" si="232"/>
        <v>夏</v>
      </c>
      <c r="F226" s="2" t="str">
        <f t="shared" si="233"/>
        <v>一般毛衣(SWEATER)(KW)</v>
      </c>
      <c r="H226" s="2" t="str">
        <f t="shared" si="234"/>
        <v>PRKWG2303M</v>
      </c>
      <c r="I226" s="2" t="str">
        <f t="shared" si="257"/>
        <v>(99)MIX99</v>
      </c>
      <c r="J226" s="2" t="str">
        <f t="shared" ref="J226:J231" si="269">"160"</f>
        <v>160</v>
      </c>
      <c r="K226" s="2" t="str">
        <f t="shared" ref="K226:K231" si="270">"PRKWG2303M99160"</f>
        <v>PRKWG2303M99160</v>
      </c>
      <c r="L226" s="2" t="str">
        <f t="shared" si="235"/>
        <v>899</v>
      </c>
      <c r="M226" s="1">
        <v>2</v>
      </c>
      <c r="N226" s="1">
        <v>1798</v>
      </c>
      <c r="O226" s="1">
        <v>2</v>
      </c>
      <c r="P226" s="1">
        <v>1798</v>
      </c>
      <c r="Q226" s="1">
        <v>0</v>
      </c>
      <c r="R226" s="1">
        <v>0</v>
      </c>
      <c r="S226" s="1">
        <v>0</v>
      </c>
      <c r="T226" s="1">
        <v>0</v>
      </c>
      <c r="U226" s="1">
        <v>2</v>
      </c>
      <c r="V226" s="1">
        <v>1798</v>
      </c>
    </row>
    <row r="227" spans="1:22" x14ac:dyDescent="0.15">
      <c r="A227" s="2" t="str">
        <f t="shared" si="266"/>
        <v>CGG1</v>
      </c>
      <c r="B227" s="2" t="str">
        <f t="shared" si="267"/>
        <v>西北支社</v>
      </c>
      <c r="C227" s="2" t="str">
        <f t="shared" si="268"/>
        <v>PR 西安王府井赛特奥特莱斯(CGG1)</v>
      </c>
      <c r="D227" s="2" t="str">
        <f t="shared" si="231"/>
        <v>2026</v>
      </c>
      <c r="E227" s="2" t="str">
        <f t="shared" si="232"/>
        <v>夏</v>
      </c>
      <c r="F227" s="2" t="str">
        <f t="shared" si="233"/>
        <v>一般毛衣(SWEATER)(KW)</v>
      </c>
      <c r="H227" s="2" t="str">
        <f t="shared" si="234"/>
        <v>PRKWG2303M</v>
      </c>
      <c r="I227" s="2" t="str">
        <f t="shared" si="257"/>
        <v>(99)MIX99</v>
      </c>
      <c r="J227" s="2" t="str">
        <f t="shared" ref="J227:J232" si="271">"165"</f>
        <v>165</v>
      </c>
      <c r="K227" s="2" t="str">
        <f t="shared" ref="K227:K232" si="272">"PRKWG2303M99165"</f>
        <v>PRKWG2303M99165</v>
      </c>
      <c r="L227" s="2" t="str">
        <f t="shared" si="235"/>
        <v>899</v>
      </c>
      <c r="M227" s="1">
        <v>2</v>
      </c>
      <c r="N227" s="1">
        <v>1798</v>
      </c>
      <c r="O227" s="1">
        <v>2</v>
      </c>
      <c r="P227" s="1">
        <v>1798</v>
      </c>
      <c r="Q227" s="1">
        <v>0</v>
      </c>
      <c r="R227" s="1">
        <v>0</v>
      </c>
      <c r="S227" s="1">
        <v>0</v>
      </c>
      <c r="T227" s="1">
        <v>0</v>
      </c>
      <c r="U227" s="1">
        <v>2</v>
      </c>
      <c r="V227" s="1">
        <v>1798</v>
      </c>
    </row>
    <row r="228" spans="1:22" x14ac:dyDescent="0.15">
      <c r="A228" s="2" t="str">
        <f t="shared" ref="A228:A230" si="273">"CGK2"</f>
        <v>CGK2</v>
      </c>
      <c r="B228" s="2" t="str">
        <f t="shared" ref="B228:B230" si="274">"华东支社"</f>
        <v>华东支社</v>
      </c>
      <c r="C228" s="2" t="str">
        <f t="shared" ref="C228:C230" si="275">"PR 徐州金鹰 徐州金鹰(CGK2)"</f>
        <v>PR 徐州金鹰 徐州金鹰(CGK2)</v>
      </c>
      <c r="D228" s="2" t="str">
        <f t="shared" si="231"/>
        <v>2026</v>
      </c>
      <c r="E228" s="2" t="str">
        <f t="shared" si="232"/>
        <v>夏</v>
      </c>
      <c r="F228" s="2" t="str">
        <f t="shared" si="233"/>
        <v>一般毛衣(SWEATER)(KW)</v>
      </c>
      <c r="H228" s="2" t="str">
        <f t="shared" si="234"/>
        <v>PRKWG2303M</v>
      </c>
      <c r="I228" s="2" t="str">
        <f t="shared" si="257"/>
        <v>(99)MIX99</v>
      </c>
      <c r="J228" s="2" t="str">
        <f t="shared" si="269"/>
        <v>160</v>
      </c>
      <c r="K228" s="2" t="str">
        <f t="shared" si="270"/>
        <v>PRKWG2303M99160</v>
      </c>
      <c r="L228" s="2" t="str">
        <f t="shared" si="235"/>
        <v>899</v>
      </c>
      <c r="M228" s="1">
        <v>2</v>
      </c>
      <c r="N228" s="1">
        <v>1798</v>
      </c>
      <c r="O228" s="1">
        <v>2</v>
      </c>
      <c r="P228" s="1">
        <v>1798</v>
      </c>
      <c r="Q228" s="1">
        <v>0</v>
      </c>
      <c r="R228" s="1">
        <v>0</v>
      </c>
      <c r="S228" s="1">
        <v>0</v>
      </c>
      <c r="T228" s="1">
        <v>0</v>
      </c>
      <c r="U228" s="1">
        <v>2</v>
      </c>
      <c r="V228" s="1">
        <v>1798</v>
      </c>
    </row>
    <row r="229" spans="1:22" x14ac:dyDescent="0.15">
      <c r="A229" s="2" t="str">
        <f t="shared" si="273"/>
        <v>CGK2</v>
      </c>
      <c r="B229" s="2" t="str">
        <f t="shared" si="274"/>
        <v>华东支社</v>
      </c>
      <c r="C229" s="2" t="str">
        <f t="shared" si="275"/>
        <v>PR 徐州金鹰 徐州金鹰(CGK2)</v>
      </c>
      <c r="D229" s="2" t="str">
        <f t="shared" si="231"/>
        <v>2026</v>
      </c>
      <c r="E229" s="2" t="str">
        <f t="shared" si="232"/>
        <v>夏</v>
      </c>
      <c r="F229" s="2" t="str">
        <f t="shared" si="233"/>
        <v>一般毛衣(SWEATER)(KW)</v>
      </c>
      <c r="H229" s="2" t="str">
        <f t="shared" si="234"/>
        <v>PRKWG2303M</v>
      </c>
      <c r="I229" s="2" t="str">
        <f t="shared" si="257"/>
        <v>(99)MIX99</v>
      </c>
      <c r="J229" s="2" t="str">
        <f t="shared" si="271"/>
        <v>165</v>
      </c>
      <c r="K229" s="2" t="str">
        <f t="shared" si="272"/>
        <v>PRKWG2303M99165</v>
      </c>
      <c r="L229" s="2" t="str">
        <f t="shared" si="235"/>
        <v>899</v>
      </c>
      <c r="M229" s="1">
        <v>1</v>
      </c>
      <c r="N229" s="1">
        <v>899</v>
      </c>
      <c r="O229" s="1">
        <v>1</v>
      </c>
      <c r="P229" s="1">
        <v>899</v>
      </c>
      <c r="Q229" s="1">
        <v>0</v>
      </c>
      <c r="R229" s="1">
        <v>0</v>
      </c>
      <c r="S229" s="1">
        <v>0</v>
      </c>
      <c r="T229" s="1">
        <v>0</v>
      </c>
      <c r="U229" s="1">
        <v>1</v>
      </c>
      <c r="V229" s="1">
        <v>899</v>
      </c>
    </row>
    <row r="230" spans="1:22" x14ac:dyDescent="0.15">
      <c r="A230" s="2" t="str">
        <f t="shared" si="273"/>
        <v>CGK2</v>
      </c>
      <c r="B230" s="2" t="str">
        <f t="shared" si="274"/>
        <v>华东支社</v>
      </c>
      <c r="C230" s="2" t="str">
        <f t="shared" si="275"/>
        <v>PR 徐州金鹰 徐州金鹰(CGK2)</v>
      </c>
      <c r="D230" s="2" t="str">
        <f t="shared" si="231"/>
        <v>2026</v>
      </c>
      <c r="E230" s="2" t="str">
        <f t="shared" si="232"/>
        <v>夏</v>
      </c>
      <c r="F230" s="2" t="str">
        <f t="shared" si="233"/>
        <v>一般毛衣(SWEATER)(KW)</v>
      </c>
      <c r="H230" s="2" t="str">
        <f t="shared" si="234"/>
        <v>PRKWG2303M</v>
      </c>
      <c r="I230" s="2" t="str">
        <f t="shared" si="257"/>
        <v>(99)MIX99</v>
      </c>
      <c r="J230" s="2" t="str">
        <f>"170"</f>
        <v>170</v>
      </c>
      <c r="K230" s="2" t="str">
        <f>"PRKWG2303M99170"</f>
        <v>PRKWG2303M99170</v>
      </c>
      <c r="L230" s="2" t="str">
        <f t="shared" si="235"/>
        <v>899</v>
      </c>
      <c r="M230" s="1">
        <v>0</v>
      </c>
      <c r="N230" s="1">
        <v>0</v>
      </c>
      <c r="O230" s="1">
        <v>0</v>
      </c>
      <c r="P230" s="1">
        <v>0</v>
      </c>
      <c r="Q230" s="1">
        <v>0</v>
      </c>
      <c r="R230" s="1">
        <v>0</v>
      </c>
      <c r="S230" s="1">
        <v>1</v>
      </c>
      <c r="T230" s="1">
        <v>899</v>
      </c>
      <c r="U230" s="1">
        <v>1</v>
      </c>
      <c r="V230" s="1">
        <v>899</v>
      </c>
    </row>
    <row r="231" spans="1:22" x14ac:dyDescent="0.15">
      <c r="A231" s="2" t="str">
        <f>"CGK9"</f>
        <v>CGK9</v>
      </c>
      <c r="B231" s="2" t="str">
        <f t="shared" ref="B231:B235" si="276">"东南支社"</f>
        <v>东南支社</v>
      </c>
      <c r="C231" s="2" t="str">
        <f>"PR 南昌百盛优客(CGK9)"</f>
        <v>PR 南昌百盛优客(CGK9)</v>
      </c>
      <c r="D231" s="2" t="str">
        <f t="shared" si="231"/>
        <v>2026</v>
      </c>
      <c r="E231" s="2" t="str">
        <f t="shared" si="232"/>
        <v>夏</v>
      </c>
      <c r="F231" s="2" t="str">
        <f t="shared" si="233"/>
        <v>一般毛衣(SWEATER)(KW)</v>
      </c>
      <c r="H231" s="2" t="str">
        <f t="shared" si="234"/>
        <v>PRKWG2303M</v>
      </c>
      <c r="I231" s="2" t="str">
        <f t="shared" si="257"/>
        <v>(99)MIX99</v>
      </c>
      <c r="J231" s="2" t="str">
        <f t="shared" si="269"/>
        <v>160</v>
      </c>
      <c r="K231" s="2" t="str">
        <f t="shared" si="270"/>
        <v>PRKWG2303M99160</v>
      </c>
      <c r="L231" s="2" t="str">
        <f t="shared" si="235"/>
        <v>899</v>
      </c>
      <c r="M231" s="1">
        <v>2</v>
      </c>
      <c r="N231" s="1">
        <v>1798</v>
      </c>
      <c r="O231" s="1">
        <v>2</v>
      </c>
      <c r="P231" s="1">
        <v>1798</v>
      </c>
      <c r="Q231" s="1">
        <v>0</v>
      </c>
      <c r="R231" s="1">
        <v>0</v>
      </c>
      <c r="S231" s="1">
        <v>0</v>
      </c>
      <c r="T231" s="1">
        <v>0</v>
      </c>
      <c r="U231" s="1">
        <v>2</v>
      </c>
      <c r="V231" s="1">
        <v>1798</v>
      </c>
    </row>
    <row r="232" spans="1:22" x14ac:dyDescent="0.15">
      <c r="A232" s="2" t="str">
        <f>"CGK9"</f>
        <v>CGK9</v>
      </c>
      <c r="B232" s="2" t="str">
        <f t="shared" si="276"/>
        <v>东南支社</v>
      </c>
      <c r="C232" s="2" t="str">
        <f>"PR 南昌百盛优客(CGK9)"</f>
        <v>PR 南昌百盛优客(CGK9)</v>
      </c>
      <c r="D232" s="2" t="str">
        <f t="shared" si="231"/>
        <v>2026</v>
      </c>
      <c r="E232" s="2" t="str">
        <f t="shared" si="232"/>
        <v>夏</v>
      </c>
      <c r="F232" s="2" t="str">
        <f t="shared" si="233"/>
        <v>一般毛衣(SWEATER)(KW)</v>
      </c>
      <c r="H232" s="2" t="str">
        <f t="shared" si="234"/>
        <v>PRKWG2303M</v>
      </c>
      <c r="I232" s="2" t="str">
        <f t="shared" si="257"/>
        <v>(99)MIX99</v>
      </c>
      <c r="J232" s="2" t="str">
        <f t="shared" si="271"/>
        <v>165</v>
      </c>
      <c r="K232" s="2" t="str">
        <f t="shared" si="272"/>
        <v>PRKWG2303M99165</v>
      </c>
      <c r="L232" s="2" t="str">
        <f t="shared" si="235"/>
        <v>899</v>
      </c>
      <c r="M232" s="1">
        <v>1</v>
      </c>
      <c r="N232" s="1">
        <v>899</v>
      </c>
      <c r="O232" s="1">
        <v>1</v>
      </c>
      <c r="P232" s="1">
        <v>899</v>
      </c>
      <c r="Q232" s="1">
        <v>0</v>
      </c>
      <c r="R232" s="1">
        <v>0</v>
      </c>
      <c r="S232" s="1">
        <v>0</v>
      </c>
      <c r="T232" s="1">
        <v>0</v>
      </c>
      <c r="U232" s="1">
        <v>1</v>
      </c>
      <c r="V232" s="1">
        <v>899</v>
      </c>
    </row>
    <row r="233" spans="1:22" x14ac:dyDescent="0.15">
      <c r="A233" s="2" t="str">
        <f t="shared" ref="A233:A235" si="277">"CGS9"</f>
        <v>CGS9</v>
      </c>
      <c r="B233" s="2" t="str">
        <f t="shared" si="276"/>
        <v>东南支社</v>
      </c>
      <c r="C233" s="2" t="str">
        <f t="shared" ref="C233:C235" si="278">"PR 厦门SM百货(CGS9)"</f>
        <v>PR 厦门SM百货(CGS9)</v>
      </c>
      <c r="D233" s="2" t="str">
        <f t="shared" si="231"/>
        <v>2026</v>
      </c>
      <c r="E233" s="2" t="str">
        <f t="shared" si="232"/>
        <v>夏</v>
      </c>
      <c r="F233" s="2" t="str">
        <f t="shared" si="233"/>
        <v>一般毛衣(SWEATER)(KW)</v>
      </c>
      <c r="H233" s="2" t="str">
        <f t="shared" si="234"/>
        <v>PRKWG2303M</v>
      </c>
      <c r="I233" s="2" t="str">
        <f t="shared" si="257"/>
        <v>(99)MIX99</v>
      </c>
      <c r="J233" s="2" t="str">
        <f>"160"</f>
        <v>160</v>
      </c>
      <c r="K233" s="2" t="str">
        <f>"PRKWG2303M99160"</f>
        <v>PRKWG2303M99160</v>
      </c>
      <c r="L233" s="2" t="str">
        <f t="shared" si="235"/>
        <v>899</v>
      </c>
      <c r="M233" s="1">
        <v>1</v>
      </c>
      <c r="N233" s="1">
        <v>899</v>
      </c>
      <c r="O233" s="1">
        <v>1</v>
      </c>
      <c r="P233" s="1">
        <v>899</v>
      </c>
      <c r="Q233" s="1">
        <v>0</v>
      </c>
      <c r="R233" s="1">
        <v>0</v>
      </c>
      <c r="S233" s="1">
        <v>2</v>
      </c>
      <c r="T233" s="1">
        <v>1798</v>
      </c>
      <c r="U233" s="1">
        <v>3</v>
      </c>
      <c r="V233" s="1">
        <v>2697</v>
      </c>
    </row>
    <row r="234" spans="1:22" x14ac:dyDescent="0.15">
      <c r="A234" s="2" t="str">
        <f t="shared" si="277"/>
        <v>CGS9</v>
      </c>
      <c r="B234" s="2" t="str">
        <f t="shared" si="276"/>
        <v>东南支社</v>
      </c>
      <c r="C234" s="2" t="str">
        <f t="shared" si="278"/>
        <v>PR 厦门SM百货(CGS9)</v>
      </c>
      <c r="D234" s="2" t="str">
        <f t="shared" si="231"/>
        <v>2026</v>
      </c>
      <c r="E234" s="2" t="str">
        <f t="shared" si="232"/>
        <v>夏</v>
      </c>
      <c r="F234" s="2" t="str">
        <f t="shared" si="233"/>
        <v>一般毛衣(SWEATER)(KW)</v>
      </c>
      <c r="H234" s="2" t="str">
        <f t="shared" si="234"/>
        <v>PRKWG2303M</v>
      </c>
      <c r="I234" s="2" t="str">
        <f t="shared" si="257"/>
        <v>(99)MIX99</v>
      </c>
      <c r="J234" s="2" t="str">
        <f>"165"</f>
        <v>165</v>
      </c>
      <c r="K234" s="2" t="str">
        <f>"PRKWG2303M99165"</f>
        <v>PRKWG2303M99165</v>
      </c>
      <c r="L234" s="2" t="str">
        <f t="shared" si="235"/>
        <v>899</v>
      </c>
      <c r="M234" s="1">
        <v>1</v>
      </c>
      <c r="N234" s="1">
        <v>899</v>
      </c>
      <c r="O234" s="1">
        <v>1</v>
      </c>
      <c r="P234" s="1">
        <v>899</v>
      </c>
      <c r="Q234" s="1">
        <v>0</v>
      </c>
      <c r="R234" s="1">
        <v>0</v>
      </c>
      <c r="S234" s="1">
        <v>0</v>
      </c>
      <c r="T234" s="1">
        <v>0</v>
      </c>
      <c r="U234" s="1">
        <v>1</v>
      </c>
      <c r="V234" s="1">
        <v>899</v>
      </c>
    </row>
    <row r="235" spans="1:22" x14ac:dyDescent="0.15">
      <c r="A235" s="2" t="str">
        <f t="shared" si="277"/>
        <v>CGS9</v>
      </c>
      <c r="B235" s="2" t="str">
        <f t="shared" si="276"/>
        <v>东南支社</v>
      </c>
      <c r="C235" s="2" t="str">
        <f t="shared" si="278"/>
        <v>PR 厦门SM百货(CGS9)</v>
      </c>
      <c r="D235" s="2" t="str">
        <f t="shared" si="231"/>
        <v>2026</v>
      </c>
      <c r="E235" s="2" t="str">
        <f t="shared" si="232"/>
        <v>夏</v>
      </c>
      <c r="F235" s="2" t="str">
        <f t="shared" si="233"/>
        <v>一般毛衣(SWEATER)(KW)</v>
      </c>
      <c r="H235" s="2" t="str">
        <f t="shared" si="234"/>
        <v>PRKWG2303M</v>
      </c>
      <c r="I235" s="2" t="str">
        <f t="shared" si="257"/>
        <v>(99)MIX99</v>
      </c>
      <c r="J235" s="2" t="str">
        <f>"170"</f>
        <v>170</v>
      </c>
      <c r="K235" s="2" t="str">
        <f>"PRKWG2303M99170"</f>
        <v>PRKWG2303M99170</v>
      </c>
      <c r="L235" s="2" t="str">
        <f t="shared" si="235"/>
        <v>899</v>
      </c>
      <c r="M235" s="1">
        <v>1</v>
      </c>
      <c r="N235" s="1">
        <v>899</v>
      </c>
      <c r="O235" s="1">
        <v>1</v>
      </c>
      <c r="P235" s="1">
        <v>899</v>
      </c>
      <c r="Q235" s="1">
        <v>0</v>
      </c>
      <c r="R235" s="1">
        <v>0</v>
      </c>
      <c r="S235" s="1">
        <v>0</v>
      </c>
      <c r="T235" s="1">
        <v>0</v>
      </c>
      <c r="U235" s="1">
        <v>1</v>
      </c>
      <c r="V235" s="1">
        <v>899</v>
      </c>
    </row>
    <row r="236" spans="1:22" x14ac:dyDescent="0.15">
      <c r="A236" s="2" t="str">
        <f t="shared" ref="A236:A238" si="279">"CGZV"</f>
        <v>CGZV</v>
      </c>
      <c r="B236" s="2" t="str">
        <f t="shared" ref="B236:B241" si="280">"西北支社"</f>
        <v>西北支社</v>
      </c>
      <c r="C236" s="2" t="str">
        <f t="shared" ref="C236:C238" si="281">"PR 西安砂之船奥特莱斯(CGZV)"</f>
        <v>PR 西安砂之船奥特莱斯(CGZV)</v>
      </c>
      <c r="D236" s="2" t="str">
        <f t="shared" si="231"/>
        <v>2026</v>
      </c>
      <c r="E236" s="2" t="str">
        <f t="shared" si="232"/>
        <v>夏</v>
      </c>
      <c r="F236" s="2" t="str">
        <f t="shared" si="233"/>
        <v>一般毛衣(SWEATER)(KW)</v>
      </c>
      <c r="H236" s="2" t="str">
        <f t="shared" si="234"/>
        <v>PRKWG2303M</v>
      </c>
      <c r="I236" s="2" t="str">
        <f t="shared" ref="I236:I241" si="282">"(99)MIX99"</f>
        <v>(99)MIX99</v>
      </c>
      <c r="J236" s="2" t="str">
        <f>"160"</f>
        <v>160</v>
      </c>
      <c r="K236" s="2" t="str">
        <f>"PRKWG2303M99160"</f>
        <v>PRKWG2303M99160</v>
      </c>
      <c r="L236" s="2" t="str">
        <f t="shared" si="235"/>
        <v>899</v>
      </c>
      <c r="M236" s="1">
        <v>1</v>
      </c>
      <c r="N236" s="1">
        <v>899</v>
      </c>
      <c r="O236" s="1">
        <v>1</v>
      </c>
      <c r="P236" s="1">
        <v>899</v>
      </c>
      <c r="Q236" s="1">
        <v>0</v>
      </c>
      <c r="R236" s="1">
        <v>0</v>
      </c>
      <c r="S236" s="1">
        <v>5</v>
      </c>
      <c r="T236" s="1">
        <v>4495</v>
      </c>
      <c r="U236" s="1">
        <v>6</v>
      </c>
      <c r="V236" s="1">
        <v>5394</v>
      </c>
    </row>
    <row r="237" spans="1:22" x14ac:dyDescent="0.15">
      <c r="A237" s="2" t="str">
        <f t="shared" si="279"/>
        <v>CGZV</v>
      </c>
      <c r="B237" s="2" t="str">
        <f t="shared" si="280"/>
        <v>西北支社</v>
      </c>
      <c r="C237" s="2" t="str">
        <f t="shared" si="281"/>
        <v>PR 西安砂之船奥特莱斯(CGZV)</v>
      </c>
      <c r="D237" s="2" t="str">
        <f t="shared" si="231"/>
        <v>2026</v>
      </c>
      <c r="E237" s="2" t="str">
        <f t="shared" si="232"/>
        <v>夏</v>
      </c>
      <c r="F237" s="2" t="str">
        <f t="shared" si="233"/>
        <v>一般毛衣(SWEATER)(KW)</v>
      </c>
      <c r="H237" s="2" t="str">
        <f t="shared" si="234"/>
        <v>PRKWG2303M</v>
      </c>
      <c r="I237" s="2" t="str">
        <f t="shared" si="282"/>
        <v>(99)MIX99</v>
      </c>
      <c r="J237" s="2" t="str">
        <f>"165"</f>
        <v>165</v>
      </c>
      <c r="K237" s="2" t="str">
        <f>"PRKWG2303M99165"</f>
        <v>PRKWG2303M99165</v>
      </c>
      <c r="L237" s="2" t="str">
        <f t="shared" si="235"/>
        <v>899</v>
      </c>
      <c r="M237" s="1">
        <v>3</v>
      </c>
      <c r="N237" s="1">
        <v>2697</v>
      </c>
      <c r="O237" s="1">
        <v>3</v>
      </c>
      <c r="P237" s="1">
        <v>2697</v>
      </c>
      <c r="Q237" s="1">
        <v>0</v>
      </c>
      <c r="R237" s="1">
        <v>0</v>
      </c>
      <c r="S237" s="1">
        <v>0</v>
      </c>
      <c r="T237" s="1">
        <v>0</v>
      </c>
      <c r="U237" s="1">
        <v>3</v>
      </c>
      <c r="V237" s="1">
        <v>2697</v>
      </c>
    </row>
    <row r="238" spans="1:22" x14ac:dyDescent="0.15">
      <c r="A238" s="2" t="str">
        <f t="shared" si="279"/>
        <v>CGZV</v>
      </c>
      <c r="B238" s="2" t="str">
        <f t="shared" si="280"/>
        <v>西北支社</v>
      </c>
      <c r="C238" s="2" t="str">
        <f t="shared" si="281"/>
        <v>PR 西安砂之船奥特莱斯(CGZV)</v>
      </c>
      <c r="D238" s="2" t="str">
        <f t="shared" si="231"/>
        <v>2026</v>
      </c>
      <c r="E238" s="2" t="str">
        <f t="shared" si="232"/>
        <v>夏</v>
      </c>
      <c r="F238" s="2" t="str">
        <f t="shared" si="233"/>
        <v>一般毛衣(SWEATER)(KW)</v>
      </c>
      <c r="H238" s="2" t="str">
        <f t="shared" si="234"/>
        <v>PRKWG2303M</v>
      </c>
      <c r="I238" s="2" t="str">
        <f t="shared" si="282"/>
        <v>(99)MIX99</v>
      </c>
      <c r="J238" s="2" t="str">
        <f>"170"</f>
        <v>170</v>
      </c>
      <c r="K238" s="2" t="str">
        <f>"PRKWG2303M99170"</f>
        <v>PRKWG2303M99170</v>
      </c>
      <c r="L238" s="2" t="str">
        <f t="shared" si="235"/>
        <v>899</v>
      </c>
      <c r="M238" s="1">
        <v>1</v>
      </c>
      <c r="N238" s="1">
        <v>899</v>
      </c>
      <c r="O238" s="1">
        <v>1</v>
      </c>
      <c r="P238" s="1">
        <v>899</v>
      </c>
      <c r="Q238" s="1">
        <v>0</v>
      </c>
      <c r="R238" s="1">
        <v>0</v>
      </c>
      <c r="S238" s="1">
        <v>0</v>
      </c>
      <c r="T238" s="1">
        <v>0</v>
      </c>
      <c r="U238" s="1">
        <v>1</v>
      </c>
      <c r="V238" s="1">
        <v>899</v>
      </c>
    </row>
    <row r="239" spans="1:22" x14ac:dyDescent="0.15">
      <c r="A239" s="2" t="str">
        <f t="shared" ref="A239:A241" si="283">"CH0P"</f>
        <v>CH0P</v>
      </c>
      <c r="B239" s="2" t="str">
        <f t="shared" si="280"/>
        <v>西北支社</v>
      </c>
      <c r="C239" s="2" t="str">
        <f t="shared" ref="C239:C241" si="284">"PR 西宁王府井(CH0P)"</f>
        <v>PR 西宁王府井(CH0P)</v>
      </c>
      <c r="D239" s="2" t="str">
        <f t="shared" si="231"/>
        <v>2026</v>
      </c>
      <c r="E239" s="2" t="str">
        <f t="shared" si="232"/>
        <v>夏</v>
      </c>
      <c r="F239" s="2" t="str">
        <f t="shared" si="233"/>
        <v>一般毛衣(SWEATER)(KW)</v>
      </c>
      <c r="H239" s="2" t="str">
        <f t="shared" si="234"/>
        <v>PRKWG2303M</v>
      </c>
      <c r="I239" s="2" t="str">
        <f t="shared" si="282"/>
        <v>(99)MIX99</v>
      </c>
      <c r="J239" s="2" t="str">
        <f>"160"</f>
        <v>160</v>
      </c>
      <c r="K239" s="2" t="str">
        <f>"PRKWG2303M99160"</f>
        <v>PRKWG2303M99160</v>
      </c>
      <c r="L239" s="2" t="str">
        <f t="shared" si="235"/>
        <v>899</v>
      </c>
      <c r="M239" s="1">
        <v>2</v>
      </c>
      <c r="N239" s="1">
        <v>1798</v>
      </c>
      <c r="O239" s="1">
        <v>2</v>
      </c>
      <c r="P239" s="1">
        <v>1798</v>
      </c>
      <c r="Q239" s="1">
        <v>0</v>
      </c>
      <c r="R239" s="1">
        <v>0</v>
      </c>
      <c r="S239" s="1">
        <v>0</v>
      </c>
      <c r="T239" s="1">
        <v>0</v>
      </c>
      <c r="U239" s="1">
        <v>2</v>
      </c>
      <c r="V239" s="1">
        <v>1798</v>
      </c>
    </row>
    <row r="240" spans="1:22" x14ac:dyDescent="0.15">
      <c r="A240" s="2" t="str">
        <f t="shared" si="283"/>
        <v>CH0P</v>
      </c>
      <c r="B240" s="2" t="str">
        <f t="shared" si="280"/>
        <v>西北支社</v>
      </c>
      <c r="C240" s="2" t="str">
        <f t="shared" si="284"/>
        <v>PR 西宁王府井(CH0P)</v>
      </c>
      <c r="D240" s="2" t="str">
        <f t="shared" si="231"/>
        <v>2026</v>
      </c>
      <c r="E240" s="2" t="str">
        <f t="shared" si="232"/>
        <v>夏</v>
      </c>
      <c r="F240" s="2" t="str">
        <f t="shared" si="233"/>
        <v>一般毛衣(SWEATER)(KW)</v>
      </c>
      <c r="H240" s="2" t="str">
        <f t="shared" si="234"/>
        <v>PRKWG2303M</v>
      </c>
      <c r="I240" s="2" t="str">
        <f t="shared" si="282"/>
        <v>(99)MIX99</v>
      </c>
      <c r="J240" s="2" t="str">
        <f>"165"</f>
        <v>165</v>
      </c>
      <c r="K240" s="2" t="str">
        <f>"PRKWG2303M99165"</f>
        <v>PRKWG2303M99165</v>
      </c>
      <c r="L240" s="2" t="str">
        <f t="shared" si="235"/>
        <v>899</v>
      </c>
      <c r="M240" s="1">
        <v>2</v>
      </c>
      <c r="N240" s="1">
        <v>1798</v>
      </c>
      <c r="O240" s="1">
        <v>2</v>
      </c>
      <c r="P240" s="1">
        <v>1798</v>
      </c>
      <c r="Q240" s="1">
        <v>0</v>
      </c>
      <c r="R240" s="1">
        <v>0</v>
      </c>
      <c r="S240" s="1">
        <v>0</v>
      </c>
      <c r="T240" s="1">
        <v>0</v>
      </c>
      <c r="U240" s="1">
        <v>2</v>
      </c>
      <c r="V240" s="1">
        <v>1798</v>
      </c>
    </row>
    <row r="241" spans="1:22" x14ac:dyDescent="0.15">
      <c r="A241" s="2" t="str">
        <f t="shared" si="283"/>
        <v>CH0P</v>
      </c>
      <c r="B241" s="2" t="str">
        <f t="shared" si="280"/>
        <v>西北支社</v>
      </c>
      <c r="C241" s="2" t="str">
        <f t="shared" si="284"/>
        <v>PR 西宁王府井(CH0P)</v>
      </c>
      <c r="D241" s="2" t="str">
        <f t="shared" si="231"/>
        <v>2026</v>
      </c>
      <c r="E241" s="2" t="str">
        <f t="shared" si="232"/>
        <v>夏</v>
      </c>
      <c r="F241" s="2" t="str">
        <f t="shared" si="233"/>
        <v>一般毛衣(SWEATER)(KW)</v>
      </c>
      <c r="H241" s="2" t="str">
        <f t="shared" si="234"/>
        <v>PRKWG2303M</v>
      </c>
      <c r="I241" s="2" t="str">
        <f t="shared" si="282"/>
        <v>(99)MIX99</v>
      </c>
      <c r="J241" s="2" t="str">
        <f>"170"</f>
        <v>170</v>
      </c>
      <c r="K241" s="2" t="str">
        <f>"PRKWG2303M99170"</f>
        <v>PRKWG2303M99170</v>
      </c>
      <c r="L241" s="2" t="str">
        <f t="shared" si="235"/>
        <v>899</v>
      </c>
      <c r="M241" s="1">
        <v>1</v>
      </c>
      <c r="N241" s="1">
        <v>899</v>
      </c>
      <c r="O241" s="1">
        <v>1</v>
      </c>
      <c r="P241" s="1">
        <v>899</v>
      </c>
      <c r="Q241" s="1">
        <v>0</v>
      </c>
      <c r="R241" s="1">
        <v>0</v>
      </c>
      <c r="S241" s="1">
        <v>0</v>
      </c>
      <c r="T241" s="1">
        <v>0</v>
      </c>
      <c r="U241" s="1">
        <v>1</v>
      </c>
      <c r="V241" s="1">
        <v>899</v>
      </c>
    </row>
    <row r="242" spans="1:22" x14ac:dyDescent="0.15">
      <c r="A242" s="2" t="str">
        <f t="shared" ref="A242:A245" si="285">"CH66"</f>
        <v>CH66</v>
      </c>
      <c r="B242" s="2" t="str">
        <f t="shared" ref="B242:B245" si="286">"北京支社"</f>
        <v>北京支社</v>
      </c>
      <c r="C242" s="2" t="str">
        <f t="shared" ref="C242:C245" si="287">"PR 北京汉光(CH66)"</f>
        <v>PR 北京汉光(CH66)</v>
      </c>
      <c r="D242" s="2" t="str">
        <f t="shared" si="231"/>
        <v>2026</v>
      </c>
      <c r="E242" s="2" t="str">
        <f t="shared" si="232"/>
        <v>夏</v>
      </c>
      <c r="F242" s="2" t="str">
        <f t="shared" si="233"/>
        <v>一般毛衣(SWEATER)(KW)</v>
      </c>
      <c r="H242" s="2" t="str">
        <f t="shared" si="234"/>
        <v>PRKWG2303M</v>
      </c>
      <c r="I242" s="2" t="str">
        <f t="shared" ref="I242:I258" si="288">"(99)MIX99"</f>
        <v>(99)MIX99</v>
      </c>
      <c r="J242" s="2" t="str">
        <f>"155"</f>
        <v>155</v>
      </c>
      <c r="K242" s="2" t="str">
        <f>"PRKWG2303M99155"</f>
        <v>PRKWG2303M99155</v>
      </c>
      <c r="L242" s="2" t="str">
        <f t="shared" si="235"/>
        <v>899</v>
      </c>
      <c r="M242" s="1">
        <v>1</v>
      </c>
      <c r="N242" s="1">
        <v>899</v>
      </c>
      <c r="O242" s="1">
        <v>1</v>
      </c>
      <c r="P242" s="1">
        <v>899</v>
      </c>
      <c r="Q242" s="1">
        <v>0</v>
      </c>
      <c r="R242" s="1">
        <v>0</v>
      </c>
      <c r="S242" s="1">
        <v>0</v>
      </c>
      <c r="T242" s="1">
        <v>0</v>
      </c>
      <c r="U242" s="1">
        <v>1</v>
      </c>
      <c r="V242" s="1">
        <v>899</v>
      </c>
    </row>
    <row r="243" spans="1:22" x14ac:dyDescent="0.15">
      <c r="A243" s="2" t="str">
        <f t="shared" si="285"/>
        <v>CH66</v>
      </c>
      <c r="B243" s="2" t="str">
        <f t="shared" si="286"/>
        <v>北京支社</v>
      </c>
      <c r="C243" s="2" t="str">
        <f t="shared" si="287"/>
        <v>PR 北京汉光(CH66)</v>
      </c>
      <c r="D243" s="2" t="str">
        <f t="shared" si="231"/>
        <v>2026</v>
      </c>
      <c r="E243" s="2" t="str">
        <f t="shared" si="232"/>
        <v>夏</v>
      </c>
      <c r="F243" s="2" t="str">
        <f t="shared" si="233"/>
        <v>一般毛衣(SWEATER)(KW)</v>
      </c>
      <c r="H243" s="2" t="str">
        <f t="shared" si="234"/>
        <v>PRKWG2303M</v>
      </c>
      <c r="I243" s="2" t="str">
        <f t="shared" si="288"/>
        <v>(99)MIX99</v>
      </c>
      <c r="J243" s="2" t="str">
        <f t="shared" ref="J243:J248" si="289">"160"</f>
        <v>160</v>
      </c>
      <c r="K243" s="2" t="str">
        <f t="shared" ref="K243:K248" si="290">"PRKWG2303M99160"</f>
        <v>PRKWG2303M99160</v>
      </c>
      <c r="L243" s="2" t="str">
        <f t="shared" si="235"/>
        <v>899</v>
      </c>
      <c r="M243" s="1">
        <v>4</v>
      </c>
      <c r="N243" s="1">
        <v>3596</v>
      </c>
      <c r="O243" s="1">
        <v>4</v>
      </c>
      <c r="P243" s="1">
        <v>3596</v>
      </c>
      <c r="Q243" s="1">
        <v>0</v>
      </c>
      <c r="R243" s="1">
        <v>0</v>
      </c>
      <c r="S243" s="1">
        <v>0</v>
      </c>
      <c r="T243" s="1">
        <v>0</v>
      </c>
      <c r="U243" s="1">
        <v>4</v>
      </c>
      <c r="V243" s="1">
        <v>3596</v>
      </c>
    </row>
    <row r="244" spans="1:22" x14ac:dyDescent="0.15">
      <c r="A244" s="2" t="str">
        <f t="shared" si="285"/>
        <v>CH66</v>
      </c>
      <c r="B244" s="2" t="str">
        <f t="shared" si="286"/>
        <v>北京支社</v>
      </c>
      <c r="C244" s="2" t="str">
        <f t="shared" si="287"/>
        <v>PR 北京汉光(CH66)</v>
      </c>
      <c r="D244" s="2" t="str">
        <f t="shared" si="231"/>
        <v>2026</v>
      </c>
      <c r="E244" s="2" t="str">
        <f t="shared" si="232"/>
        <v>夏</v>
      </c>
      <c r="F244" s="2" t="str">
        <f t="shared" si="233"/>
        <v>一般毛衣(SWEATER)(KW)</v>
      </c>
      <c r="H244" s="2" t="str">
        <f t="shared" si="234"/>
        <v>PRKWG2303M</v>
      </c>
      <c r="I244" s="2" t="str">
        <f t="shared" si="288"/>
        <v>(99)MIX99</v>
      </c>
      <c r="J244" s="2" t="str">
        <f t="shared" ref="J244:J249" si="291">"165"</f>
        <v>165</v>
      </c>
      <c r="K244" s="2" t="str">
        <f t="shared" ref="K244:K249" si="292">"PRKWG2303M99165"</f>
        <v>PRKWG2303M99165</v>
      </c>
      <c r="L244" s="2" t="str">
        <f t="shared" si="235"/>
        <v>899</v>
      </c>
      <c r="M244" s="1">
        <v>2</v>
      </c>
      <c r="N244" s="1">
        <v>1798</v>
      </c>
      <c r="O244" s="1">
        <v>2</v>
      </c>
      <c r="P244" s="1">
        <v>1798</v>
      </c>
      <c r="Q244" s="1">
        <v>0</v>
      </c>
      <c r="R244" s="1">
        <v>0</v>
      </c>
      <c r="S244" s="1">
        <v>0</v>
      </c>
      <c r="T244" s="1">
        <v>0</v>
      </c>
      <c r="U244" s="1">
        <v>2</v>
      </c>
      <c r="V244" s="1">
        <v>1798</v>
      </c>
    </row>
    <row r="245" spans="1:22" x14ac:dyDescent="0.15">
      <c r="A245" s="2" t="str">
        <f t="shared" si="285"/>
        <v>CH66</v>
      </c>
      <c r="B245" s="2" t="str">
        <f t="shared" si="286"/>
        <v>北京支社</v>
      </c>
      <c r="C245" s="2" t="str">
        <f t="shared" si="287"/>
        <v>PR 北京汉光(CH66)</v>
      </c>
      <c r="D245" s="2" t="str">
        <f t="shared" si="231"/>
        <v>2026</v>
      </c>
      <c r="E245" s="2" t="str">
        <f t="shared" si="232"/>
        <v>夏</v>
      </c>
      <c r="F245" s="2" t="str">
        <f t="shared" si="233"/>
        <v>一般毛衣(SWEATER)(KW)</v>
      </c>
      <c r="H245" s="2" t="str">
        <f t="shared" si="234"/>
        <v>PRKWG2303M</v>
      </c>
      <c r="I245" s="2" t="str">
        <f t="shared" si="288"/>
        <v>(99)MIX99</v>
      </c>
      <c r="J245" s="2" t="str">
        <f>"170"</f>
        <v>170</v>
      </c>
      <c r="K245" s="2" t="str">
        <f>"PRKWG2303M99170"</f>
        <v>PRKWG2303M99170</v>
      </c>
      <c r="L245" s="2" t="str">
        <f t="shared" si="235"/>
        <v>899</v>
      </c>
      <c r="M245" s="1">
        <v>1</v>
      </c>
      <c r="N245" s="1">
        <v>899</v>
      </c>
      <c r="O245" s="1">
        <v>1</v>
      </c>
      <c r="P245" s="1">
        <v>899</v>
      </c>
      <c r="Q245" s="1">
        <v>0</v>
      </c>
      <c r="R245" s="1">
        <v>0</v>
      </c>
      <c r="S245" s="1">
        <v>0</v>
      </c>
      <c r="T245" s="1">
        <v>0</v>
      </c>
      <c r="U245" s="1">
        <v>1</v>
      </c>
      <c r="V245" s="1">
        <v>899</v>
      </c>
    </row>
    <row r="246" spans="1:22" x14ac:dyDescent="0.15">
      <c r="A246" s="2" t="str">
        <f>"CHBJ"</f>
        <v>CHBJ</v>
      </c>
      <c r="B246" s="2" t="str">
        <f>"川南支社"</f>
        <v>川南支社</v>
      </c>
      <c r="C246" s="2" t="str">
        <f>"PR 泸州步步高(CHBJ)"</f>
        <v>PR 泸州步步高(CHBJ)</v>
      </c>
      <c r="D246" s="2" t="str">
        <f t="shared" si="231"/>
        <v>2026</v>
      </c>
      <c r="E246" s="2" t="str">
        <f t="shared" si="232"/>
        <v>夏</v>
      </c>
      <c r="F246" s="2" t="str">
        <f t="shared" si="233"/>
        <v>一般毛衣(SWEATER)(KW)</v>
      </c>
      <c r="H246" s="2" t="str">
        <f t="shared" si="234"/>
        <v>PRKWG2303M</v>
      </c>
      <c r="I246" s="2" t="str">
        <f t="shared" si="288"/>
        <v>(99)MIX99</v>
      </c>
      <c r="J246" s="2" t="str">
        <f t="shared" si="289"/>
        <v>160</v>
      </c>
      <c r="K246" s="2" t="str">
        <f t="shared" si="290"/>
        <v>PRKWG2303M99160</v>
      </c>
      <c r="L246" s="2" t="str">
        <f t="shared" si="235"/>
        <v>899</v>
      </c>
      <c r="M246" s="1">
        <v>2</v>
      </c>
      <c r="N246" s="1">
        <v>1798</v>
      </c>
      <c r="O246" s="1">
        <v>2</v>
      </c>
      <c r="P246" s="1">
        <v>1798</v>
      </c>
      <c r="Q246" s="1">
        <v>0</v>
      </c>
      <c r="R246" s="1">
        <v>0</v>
      </c>
      <c r="S246" s="1">
        <v>0</v>
      </c>
      <c r="T246" s="1">
        <v>0</v>
      </c>
      <c r="U246" s="1">
        <v>2</v>
      </c>
      <c r="V246" s="1">
        <v>1798</v>
      </c>
    </row>
    <row r="247" spans="1:22" x14ac:dyDescent="0.15">
      <c r="A247" s="2" t="str">
        <f>"CHBJ"</f>
        <v>CHBJ</v>
      </c>
      <c r="B247" s="2" t="str">
        <f>"川南支社"</f>
        <v>川南支社</v>
      </c>
      <c r="C247" s="2" t="str">
        <f>"PR 泸州步步高(CHBJ)"</f>
        <v>PR 泸州步步高(CHBJ)</v>
      </c>
      <c r="D247" s="2" t="str">
        <f t="shared" ref="D247:D298" si="293">"2026"</f>
        <v>2026</v>
      </c>
      <c r="E247" s="2" t="str">
        <f t="shared" ref="E247:E298" si="294">"夏"</f>
        <v>夏</v>
      </c>
      <c r="F247" s="2" t="str">
        <f t="shared" ref="F247:F298" si="295">"一般毛衣(SWEATER)(KW)"</f>
        <v>一般毛衣(SWEATER)(KW)</v>
      </c>
      <c r="H247" s="2" t="str">
        <f t="shared" ref="H247:H298" si="296">"PRKWG2303M"</f>
        <v>PRKWG2303M</v>
      </c>
      <c r="I247" s="2" t="str">
        <f t="shared" si="288"/>
        <v>(99)MIX99</v>
      </c>
      <c r="J247" s="2" t="str">
        <f t="shared" si="291"/>
        <v>165</v>
      </c>
      <c r="K247" s="2" t="str">
        <f t="shared" si="292"/>
        <v>PRKWG2303M99165</v>
      </c>
      <c r="L247" s="2" t="str">
        <f t="shared" ref="L247:L298" si="297">"899"</f>
        <v>899</v>
      </c>
      <c r="M247" s="1">
        <v>1</v>
      </c>
      <c r="N247" s="1">
        <v>899</v>
      </c>
      <c r="O247" s="1">
        <v>1</v>
      </c>
      <c r="P247" s="1">
        <v>899</v>
      </c>
      <c r="Q247" s="1">
        <v>0</v>
      </c>
      <c r="R247" s="1">
        <v>0</v>
      </c>
      <c r="S247" s="1">
        <v>0</v>
      </c>
      <c r="T247" s="1">
        <v>0</v>
      </c>
      <c r="U247" s="1">
        <v>1</v>
      </c>
      <c r="V247" s="1">
        <v>899</v>
      </c>
    </row>
    <row r="248" spans="1:22" x14ac:dyDescent="0.15">
      <c r="A248" s="2" t="str">
        <f t="shared" ref="A248:A250" si="298">"CHF7"</f>
        <v>CHF7</v>
      </c>
      <c r="B248" s="2" t="str">
        <f t="shared" ref="B248:B250" si="299">"北京支社"</f>
        <v>北京支社</v>
      </c>
      <c r="C248" s="2" t="str">
        <f t="shared" ref="C248:C250" si="300">"PR 北京花乡奥莱村(CHF7)"</f>
        <v>PR 北京花乡奥莱村(CHF7)</v>
      </c>
      <c r="D248" s="2" t="str">
        <f t="shared" si="293"/>
        <v>2026</v>
      </c>
      <c r="E248" s="2" t="str">
        <f t="shared" si="294"/>
        <v>夏</v>
      </c>
      <c r="F248" s="2" t="str">
        <f t="shared" si="295"/>
        <v>一般毛衣(SWEATER)(KW)</v>
      </c>
      <c r="H248" s="2" t="str">
        <f t="shared" si="296"/>
        <v>PRKWG2303M</v>
      </c>
      <c r="I248" s="2" t="str">
        <f t="shared" si="288"/>
        <v>(99)MIX99</v>
      </c>
      <c r="J248" s="2" t="str">
        <f t="shared" si="289"/>
        <v>160</v>
      </c>
      <c r="K248" s="2" t="str">
        <f t="shared" si="290"/>
        <v>PRKWG2303M99160</v>
      </c>
      <c r="L248" s="2" t="str">
        <f t="shared" si="297"/>
        <v>899</v>
      </c>
      <c r="M248" s="1">
        <v>2</v>
      </c>
      <c r="N248" s="1">
        <v>1798</v>
      </c>
      <c r="O248" s="1">
        <v>2</v>
      </c>
      <c r="P248" s="1">
        <v>1798</v>
      </c>
      <c r="Q248" s="1">
        <v>0</v>
      </c>
      <c r="R248" s="1">
        <v>0</v>
      </c>
      <c r="S248" s="1">
        <v>1</v>
      </c>
      <c r="T248" s="1">
        <v>899</v>
      </c>
      <c r="U248" s="1">
        <v>3</v>
      </c>
      <c r="V248" s="1">
        <v>2697</v>
      </c>
    </row>
    <row r="249" spans="1:22" x14ac:dyDescent="0.15">
      <c r="A249" s="2" t="str">
        <f t="shared" si="298"/>
        <v>CHF7</v>
      </c>
      <c r="B249" s="2" t="str">
        <f t="shared" si="299"/>
        <v>北京支社</v>
      </c>
      <c r="C249" s="2" t="str">
        <f t="shared" si="300"/>
        <v>PR 北京花乡奥莱村(CHF7)</v>
      </c>
      <c r="D249" s="2" t="str">
        <f t="shared" si="293"/>
        <v>2026</v>
      </c>
      <c r="E249" s="2" t="str">
        <f t="shared" si="294"/>
        <v>夏</v>
      </c>
      <c r="F249" s="2" t="str">
        <f t="shared" si="295"/>
        <v>一般毛衣(SWEATER)(KW)</v>
      </c>
      <c r="H249" s="2" t="str">
        <f t="shared" si="296"/>
        <v>PRKWG2303M</v>
      </c>
      <c r="I249" s="2" t="str">
        <f t="shared" si="288"/>
        <v>(99)MIX99</v>
      </c>
      <c r="J249" s="2" t="str">
        <f t="shared" si="291"/>
        <v>165</v>
      </c>
      <c r="K249" s="2" t="str">
        <f t="shared" si="292"/>
        <v>PRKWG2303M99165</v>
      </c>
      <c r="L249" s="2" t="str">
        <f t="shared" si="297"/>
        <v>899</v>
      </c>
      <c r="M249" s="1">
        <v>2</v>
      </c>
      <c r="N249" s="1">
        <v>1798</v>
      </c>
      <c r="O249" s="1">
        <v>2</v>
      </c>
      <c r="P249" s="1">
        <v>1798</v>
      </c>
      <c r="Q249" s="1">
        <v>0</v>
      </c>
      <c r="R249" s="1">
        <v>0</v>
      </c>
      <c r="S249" s="1">
        <v>0</v>
      </c>
      <c r="T249" s="1">
        <v>0</v>
      </c>
      <c r="U249" s="1">
        <v>2</v>
      </c>
      <c r="V249" s="1">
        <v>1798</v>
      </c>
    </row>
    <row r="250" spans="1:22" x14ac:dyDescent="0.15">
      <c r="A250" s="2" t="str">
        <f t="shared" si="298"/>
        <v>CHF7</v>
      </c>
      <c r="B250" s="2" t="str">
        <f t="shared" si="299"/>
        <v>北京支社</v>
      </c>
      <c r="C250" s="2" t="str">
        <f t="shared" si="300"/>
        <v>PR 北京花乡奥莱村(CHF7)</v>
      </c>
      <c r="D250" s="2" t="str">
        <f t="shared" si="293"/>
        <v>2026</v>
      </c>
      <c r="E250" s="2" t="str">
        <f t="shared" si="294"/>
        <v>夏</v>
      </c>
      <c r="F250" s="2" t="str">
        <f t="shared" si="295"/>
        <v>一般毛衣(SWEATER)(KW)</v>
      </c>
      <c r="H250" s="2" t="str">
        <f t="shared" si="296"/>
        <v>PRKWG2303M</v>
      </c>
      <c r="I250" s="2" t="str">
        <f t="shared" si="288"/>
        <v>(99)MIX99</v>
      </c>
      <c r="J250" s="2" t="str">
        <f>"170"</f>
        <v>170</v>
      </c>
      <c r="K250" s="2" t="str">
        <f>"PRKWG2303M99170"</f>
        <v>PRKWG2303M99170</v>
      </c>
      <c r="L250" s="2" t="str">
        <f t="shared" si="297"/>
        <v>899</v>
      </c>
      <c r="M250" s="1">
        <v>1</v>
      </c>
      <c r="N250" s="1">
        <v>899</v>
      </c>
      <c r="O250" s="1">
        <v>1</v>
      </c>
      <c r="P250" s="1">
        <v>899</v>
      </c>
      <c r="Q250" s="1">
        <v>0</v>
      </c>
      <c r="R250" s="1">
        <v>0</v>
      </c>
      <c r="S250" s="1">
        <v>0</v>
      </c>
      <c r="T250" s="1">
        <v>0</v>
      </c>
      <c r="U250" s="1">
        <v>1</v>
      </c>
      <c r="V250" s="1">
        <v>899</v>
      </c>
    </row>
    <row r="251" spans="1:22" x14ac:dyDescent="0.15">
      <c r="A251" s="2" t="str">
        <f>"CHRU"</f>
        <v>CHRU</v>
      </c>
      <c r="B251" s="2" t="str">
        <f>"川西支社"</f>
        <v>川西支社</v>
      </c>
      <c r="C251" s="2" t="str">
        <f>"PR 自贡百盛(CHRU)"</f>
        <v>PR 自贡百盛(CHRU)</v>
      </c>
      <c r="D251" s="2" t="str">
        <f t="shared" si="293"/>
        <v>2026</v>
      </c>
      <c r="E251" s="2" t="str">
        <f t="shared" si="294"/>
        <v>夏</v>
      </c>
      <c r="F251" s="2" t="str">
        <f t="shared" si="295"/>
        <v>一般毛衣(SWEATER)(KW)</v>
      </c>
      <c r="H251" s="2" t="str">
        <f t="shared" si="296"/>
        <v>PRKWG2303M</v>
      </c>
      <c r="I251" s="2" t="str">
        <f t="shared" si="288"/>
        <v>(99)MIX99</v>
      </c>
      <c r="J251" s="2" t="str">
        <f t="shared" ref="J251:J256" si="301">"160"</f>
        <v>160</v>
      </c>
      <c r="K251" s="2" t="str">
        <f t="shared" ref="K251:K256" si="302">"PRKWG2303M99160"</f>
        <v>PRKWG2303M99160</v>
      </c>
      <c r="L251" s="2" t="str">
        <f t="shared" si="297"/>
        <v>899</v>
      </c>
      <c r="M251" s="1">
        <v>2</v>
      </c>
      <c r="N251" s="1">
        <v>1798</v>
      </c>
      <c r="O251" s="1">
        <v>2</v>
      </c>
      <c r="P251" s="1">
        <v>1798</v>
      </c>
      <c r="Q251" s="1">
        <v>0</v>
      </c>
      <c r="R251" s="1">
        <v>0</v>
      </c>
      <c r="S251" s="1">
        <v>0</v>
      </c>
      <c r="T251" s="1">
        <v>0</v>
      </c>
      <c r="U251" s="1">
        <v>2</v>
      </c>
      <c r="V251" s="1">
        <v>1798</v>
      </c>
    </row>
    <row r="252" spans="1:22" x14ac:dyDescent="0.15">
      <c r="A252" s="2" t="str">
        <f>"CHRU"</f>
        <v>CHRU</v>
      </c>
      <c r="B252" s="2" t="str">
        <f>"川西支社"</f>
        <v>川西支社</v>
      </c>
      <c r="C252" s="2" t="str">
        <f>"PR 自贡百盛(CHRU)"</f>
        <v>PR 自贡百盛(CHRU)</v>
      </c>
      <c r="D252" s="2" t="str">
        <f t="shared" si="293"/>
        <v>2026</v>
      </c>
      <c r="E252" s="2" t="str">
        <f t="shared" si="294"/>
        <v>夏</v>
      </c>
      <c r="F252" s="2" t="str">
        <f t="shared" si="295"/>
        <v>一般毛衣(SWEATER)(KW)</v>
      </c>
      <c r="H252" s="2" t="str">
        <f t="shared" si="296"/>
        <v>PRKWG2303M</v>
      </c>
      <c r="I252" s="2" t="str">
        <f t="shared" si="288"/>
        <v>(99)MIX99</v>
      </c>
      <c r="J252" s="2" t="str">
        <f t="shared" ref="J252:J257" si="303">"165"</f>
        <v>165</v>
      </c>
      <c r="K252" s="2" t="str">
        <f t="shared" ref="K252:K257" si="304">"PRKWG2303M99165"</f>
        <v>PRKWG2303M99165</v>
      </c>
      <c r="L252" s="2" t="str">
        <f t="shared" si="297"/>
        <v>899</v>
      </c>
      <c r="M252" s="1">
        <v>2</v>
      </c>
      <c r="N252" s="1">
        <v>1798</v>
      </c>
      <c r="O252" s="1">
        <v>2</v>
      </c>
      <c r="P252" s="1">
        <v>1798</v>
      </c>
      <c r="Q252" s="1">
        <v>0</v>
      </c>
      <c r="R252" s="1">
        <v>0</v>
      </c>
      <c r="S252" s="1">
        <v>0</v>
      </c>
      <c r="T252" s="1">
        <v>0</v>
      </c>
      <c r="U252" s="1">
        <v>2</v>
      </c>
      <c r="V252" s="1">
        <v>1798</v>
      </c>
    </row>
    <row r="253" spans="1:22" x14ac:dyDescent="0.15">
      <c r="A253" s="2" t="str">
        <f t="shared" ref="A253:A255" si="305">"CHSH"</f>
        <v>CHSH</v>
      </c>
      <c r="B253" s="2" t="str">
        <f t="shared" ref="B253:B255" si="306">"华南支社"</f>
        <v>华南支社</v>
      </c>
      <c r="C253" s="2" t="str">
        <f t="shared" ref="C253:C255" si="307">"PR 佛山兴华(CHSH)"</f>
        <v>PR 佛山兴华(CHSH)</v>
      </c>
      <c r="D253" s="2" t="str">
        <f t="shared" si="293"/>
        <v>2026</v>
      </c>
      <c r="E253" s="2" t="str">
        <f t="shared" si="294"/>
        <v>夏</v>
      </c>
      <c r="F253" s="2" t="str">
        <f t="shared" si="295"/>
        <v>一般毛衣(SWEATER)(KW)</v>
      </c>
      <c r="H253" s="2" t="str">
        <f t="shared" si="296"/>
        <v>PRKWG2303M</v>
      </c>
      <c r="I253" s="2" t="str">
        <f t="shared" si="288"/>
        <v>(99)MIX99</v>
      </c>
      <c r="J253" s="2" t="str">
        <f t="shared" si="301"/>
        <v>160</v>
      </c>
      <c r="K253" s="2" t="str">
        <f t="shared" si="302"/>
        <v>PRKWG2303M99160</v>
      </c>
      <c r="L253" s="2" t="str">
        <f t="shared" si="297"/>
        <v>899</v>
      </c>
      <c r="M253" s="1">
        <v>2</v>
      </c>
      <c r="N253" s="1">
        <v>1798</v>
      </c>
      <c r="O253" s="1">
        <v>2</v>
      </c>
      <c r="P253" s="1">
        <v>1798</v>
      </c>
      <c r="Q253" s="1">
        <v>0</v>
      </c>
      <c r="R253" s="1">
        <v>0</v>
      </c>
      <c r="S253" s="1">
        <v>0</v>
      </c>
      <c r="T253" s="1">
        <v>0</v>
      </c>
      <c r="U253" s="1">
        <v>2</v>
      </c>
      <c r="V253" s="1">
        <v>1798</v>
      </c>
    </row>
    <row r="254" spans="1:22" x14ac:dyDescent="0.15">
      <c r="A254" s="2" t="str">
        <f t="shared" si="305"/>
        <v>CHSH</v>
      </c>
      <c r="B254" s="2" t="str">
        <f t="shared" si="306"/>
        <v>华南支社</v>
      </c>
      <c r="C254" s="2" t="str">
        <f t="shared" si="307"/>
        <v>PR 佛山兴华(CHSH)</v>
      </c>
      <c r="D254" s="2" t="str">
        <f t="shared" si="293"/>
        <v>2026</v>
      </c>
      <c r="E254" s="2" t="str">
        <f t="shared" si="294"/>
        <v>夏</v>
      </c>
      <c r="F254" s="2" t="str">
        <f t="shared" si="295"/>
        <v>一般毛衣(SWEATER)(KW)</v>
      </c>
      <c r="H254" s="2" t="str">
        <f t="shared" si="296"/>
        <v>PRKWG2303M</v>
      </c>
      <c r="I254" s="2" t="str">
        <f t="shared" si="288"/>
        <v>(99)MIX99</v>
      </c>
      <c r="J254" s="2" t="str">
        <f t="shared" si="303"/>
        <v>165</v>
      </c>
      <c r="K254" s="2" t="str">
        <f t="shared" si="304"/>
        <v>PRKWG2303M99165</v>
      </c>
      <c r="L254" s="2" t="str">
        <f t="shared" si="297"/>
        <v>899</v>
      </c>
      <c r="M254" s="1">
        <v>2</v>
      </c>
      <c r="N254" s="1">
        <v>1798</v>
      </c>
      <c r="O254" s="1">
        <v>2</v>
      </c>
      <c r="P254" s="1">
        <v>1798</v>
      </c>
      <c r="Q254" s="1">
        <v>0</v>
      </c>
      <c r="R254" s="1">
        <v>0</v>
      </c>
      <c r="S254" s="1">
        <v>0</v>
      </c>
      <c r="T254" s="1">
        <v>0</v>
      </c>
      <c r="U254" s="1">
        <v>2</v>
      </c>
      <c r="V254" s="1">
        <v>1798</v>
      </c>
    </row>
    <row r="255" spans="1:22" x14ac:dyDescent="0.15">
      <c r="A255" s="2" t="str">
        <f t="shared" si="305"/>
        <v>CHSH</v>
      </c>
      <c r="B255" s="2" t="str">
        <f t="shared" si="306"/>
        <v>华南支社</v>
      </c>
      <c r="C255" s="2" t="str">
        <f t="shared" si="307"/>
        <v>PR 佛山兴华(CHSH)</v>
      </c>
      <c r="D255" s="2" t="str">
        <f t="shared" si="293"/>
        <v>2026</v>
      </c>
      <c r="E255" s="2" t="str">
        <f t="shared" si="294"/>
        <v>夏</v>
      </c>
      <c r="F255" s="2" t="str">
        <f t="shared" si="295"/>
        <v>一般毛衣(SWEATER)(KW)</v>
      </c>
      <c r="H255" s="2" t="str">
        <f t="shared" si="296"/>
        <v>PRKWG2303M</v>
      </c>
      <c r="I255" s="2" t="str">
        <f t="shared" si="288"/>
        <v>(99)MIX99</v>
      </c>
      <c r="J255" s="2" t="str">
        <f>"170"</f>
        <v>170</v>
      </c>
      <c r="K255" s="2" t="str">
        <f>"PRKWG2303M99170"</f>
        <v>PRKWG2303M99170</v>
      </c>
      <c r="L255" s="2" t="str">
        <f t="shared" si="297"/>
        <v>899</v>
      </c>
      <c r="M255" s="1">
        <v>1</v>
      </c>
      <c r="N255" s="1">
        <v>899</v>
      </c>
      <c r="O255" s="1">
        <v>1</v>
      </c>
      <c r="P255" s="1">
        <v>899</v>
      </c>
      <c r="Q255" s="1">
        <v>0</v>
      </c>
      <c r="R255" s="1">
        <v>0</v>
      </c>
      <c r="S255" s="1">
        <v>0</v>
      </c>
      <c r="T255" s="1">
        <v>0</v>
      </c>
      <c r="U255" s="1">
        <v>1</v>
      </c>
      <c r="V255" s="1">
        <v>899</v>
      </c>
    </row>
    <row r="256" spans="1:22" x14ac:dyDescent="0.15">
      <c r="A256" s="2" t="str">
        <f t="shared" ref="A256:A258" si="308">"CHZE"</f>
        <v>CHZE</v>
      </c>
      <c r="B256" s="2" t="str">
        <f t="shared" ref="B256:B258" si="309">"川南支社"</f>
        <v>川南支社</v>
      </c>
      <c r="C256" s="2" t="str">
        <f t="shared" ref="C256:C258" si="310">"PR 德阳洋洋百盛(CHZE)"</f>
        <v>PR 德阳洋洋百盛(CHZE)</v>
      </c>
      <c r="D256" s="2" t="str">
        <f t="shared" si="293"/>
        <v>2026</v>
      </c>
      <c r="E256" s="2" t="str">
        <f t="shared" si="294"/>
        <v>夏</v>
      </c>
      <c r="F256" s="2" t="str">
        <f t="shared" si="295"/>
        <v>一般毛衣(SWEATER)(KW)</v>
      </c>
      <c r="H256" s="2" t="str">
        <f t="shared" si="296"/>
        <v>PRKWG2303M</v>
      </c>
      <c r="I256" s="2" t="str">
        <f t="shared" si="288"/>
        <v>(99)MIX99</v>
      </c>
      <c r="J256" s="2" t="str">
        <f t="shared" si="301"/>
        <v>160</v>
      </c>
      <c r="K256" s="2" t="str">
        <f t="shared" si="302"/>
        <v>PRKWG2303M99160</v>
      </c>
      <c r="L256" s="2" t="str">
        <f t="shared" si="297"/>
        <v>899</v>
      </c>
      <c r="M256" s="1">
        <v>2</v>
      </c>
      <c r="N256" s="1">
        <v>1798</v>
      </c>
      <c r="O256" s="1">
        <v>2</v>
      </c>
      <c r="P256" s="1">
        <v>1798</v>
      </c>
      <c r="Q256" s="1">
        <v>0</v>
      </c>
      <c r="R256" s="1">
        <v>0</v>
      </c>
      <c r="S256" s="1">
        <v>0</v>
      </c>
      <c r="T256" s="1">
        <v>0</v>
      </c>
      <c r="U256" s="1">
        <v>2</v>
      </c>
      <c r="V256" s="1">
        <v>1798</v>
      </c>
    </row>
    <row r="257" spans="1:22" x14ac:dyDescent="0.15">
      <c r="A257" s="2" t="str">
        <f t="shared" si="308"/>
        <v>CHZE</v>
      </c>
      <c r="B257" s="2" t="str">
        <f t="shared" si="309"/>
        <v>川南支社</v>
      </c>
      <c r="C257" s="2" t="str">
        <f t="shared" si="310"/>
        <v>PR 德阳洋洋百盛(CHZE)</v>
      </c>
      <c r="D257" s="2" t="str">
        <f t="shared" si="293"/>
        <v>2026</v>
      </c>
      <c r="E257" s="2" t="str">
        <f t="shared" si="294"/>
        <v>夏</v>
      </c>
      <c r="F257" s="2" t="str">
        <f t="shared" si="295"/>
        <v>一般毛衣(SWEATER)(KW)</v>
      </c>
      <c r="H257" s="2" t="str">
        <f t="shared" si="296"/>
        <v>PRKWG2303M</v>
      </c>
      <c r="I257" s="2" t="str">
        <f t="shared" si="288"/>
        <v>(99)MIX99</v>
      </c>
      <c r="J257" s="2" t="str">
        <f t="shared" si="303"/>
        <v>165</v>
      </c>
      <c r="K257" s="2" t="str">
        <f t="shared" si="304"/>
        <v>PRKWG2303M99165</v>
      </c>
      <c r="L257" s="2" t="str">
        <f t="shared" si="297"/>
        <v>899</v>
      </c>
      <c r="M257" s="1">
        <v>1</v>
      </c>
      <c r="N257" s="1">
        <v>899</v>
      </c>
      <c r="O257" s="1">
        <v>1</v>
      </c>
      <c r="P257" s="1">
        <v>899</v>
      </c>
      <c r="Q257" s="1">
        <v>0</v>
      </c>
      <c r="R257" s="1">
        <v>0</v>
      </c>
      <c r="S257" s="1">
        <v>0</v>
      </c>
      <c r="T257" s="1">
        <v>0</v>
      </c>
      <c r="U257" s="1">
        <v>1</v>
      </c>
      <c r="V257" s="1">
        <v>899</v>
      </c>
    </row>
    <row r="258" spans="1:22" x14ac:dyDescent="0.15">
      <c r="A258" s="2" t="str">
        <f t="shared" si="308"/>
        <v>CHZE</v>
      </c>
      <c r="B258" s="2" t="str">
        <f t="shared" si="309"/>
        <v>川南支社</v>
      </c>
      <c r="C258" s="2" t="str">
        <f t="shared" si="310"/>
        <v>PR 德阳洋洋百盛(CHZE)</v>
      </c>
      <c r="D258" s="2" t="str">
        <f t="shared" si="293"/>
        <v>2026</v>
      </c>
      <c r="E258" s="2" t="str">
        <f t="shared" si="294"/>
        <v>夏</v>
      </c>
      <c r="F258" s="2" t="str">
        <f t="shared" si="295"/>
        <v>一般毛衣(SWEATER)(KW)</v>
      </c>
      <c r="H258" s="2" t="str">
        <f t="shared" si="296"/>
        <v>PRKWG2303M</v>
      </c>
      <c r="I258" s="2" t="str">
        <f t="shared" si="288"/>
        <v>(99)MIX99</v>
      </c>
      <c r="J258" s="2" t="str">
        <f>"170"</f>
        <v>170</v>
      </c>
      <c r="K258" s="2" t="str">
        <f>"PRKWG2303M99170"</f>
        <v>PRKWG2303M99170</v>
      </c>
      <c r="L258" s="2" t="str">
        <f t="shared" si="297"/>
        <v>899</v>
      </c>
      <c r="M258" s="1">
        <v>1</v>
      </c>
      <c r="N258" s="1">
        <v>899</v>
      </c>
      <c r="O258" s="1">
        <v>1</v>
      </c>
      <c r="P258" s="1">
        <v>899</v>
      </c>
      <c r="Q258" s="1">
        <v>0</v>
      </c>
      <c r="R258" s="1">
        <v>0</v>
      </c>
      <c r="S258" s="1">
        <v>0</v>
      </c>
      <c r="T258" s="1">
        <v>0</v>
      </c>
      <c r="U258" s="1">
        <v>1</v>
      </c>
      <c r="V258" s="1">
        <v>899</v>
      </c>
    </row>
    <row r="259" spans="1:22" x14ac:dyDescent="0.15">
      <c r="A259" s="2" t="str">
        <f t="shared" ref="A259:A261" si="311">"CJ54"</f>
        <v>CJ54</v>
      </c>
      <c r="B259" s="2" t="str">
        <f t="shared" ref="B259:B261" si="312">"华南支社"</f>
        <v>华南支社</v>
      </c>
      <c r="C259" s="2" t="str">
        <f t="shared" ref="C259:C261" si="313">"PR 深圳天虹(CJ54)"</f>
        <v>PR 深圳天虹(CJ54)</v>
      </c>
      <c r="D259" s="2" t="str">
        <f t="shared" si="293"/>
        <v>2026</v>
      </c>
      <c r="E259" s="2" t="str">
        <f t="shared" si="294"/>
        <v>夏</v>
      </c>
      <c r="F259" s="2" t="str">
        <f t="shared" si="295"/>
        <v>一般毛衣(SWEATER)(KW)</v>
      </c>
      <c r="H259" s="2" t="str">
        <f t="shared" si="296"/>
        <v>PRKWG2303M</v>
      </c>
      <c r="I259" s="2" t="str">
        <f t="shared" ref="I259:I269" si="314">"(99)MIX99"</f>
        <v>(99)MIX99</v>
      </c>
      <c r="J259" s="2" t="str">
        <f t="shared" ref="J259:J262" si="315">"160"</f>
        <v>160</v>
      </c>
      <c r="K259" s="2" t="str">
        <f t="shared" ref="K259:K264" si="316">"PRKWG2303M99160"</f>
        <v>PRKWG2303M99160</v>
      </c>
      <c r="L259" s="2" t="str">
        <f t="shared" si="297"/>
        <v>899</v>
      </c>
      <c r="M259" s="1">
        <v>4</v>
      </c>
      <c r="N259" s="1">
        <v>3596</v>
      </c>
      <c r="O259" s="1">
        <v>4</v>
      </c>
      <c r="P259" s="1">
        <v>3596</v>
      </c>
      <c r="Q259" s="1">
        <v>0</v>
      </c>
      <c r="R259" s="1">
        <v>0</v>
      </c>
      <c r="S259" s="1">
        <v>0</v>
      </c>
      <c r="T259" s="1">
        <v>0</v>
      </c>
      <c r="U259" s="1">
        <v>4</v>
      </c>
      <c r="V259" s="1">
        <v>3596</v>
      </c>
    </row>
    <row r="260" spans="1:22" x14ac:dyDescent="0.15">
      <c r="A260" s="2" t="str">
        <f t="shared" si="311"/>
        <v>CJ54</v>
      </c>
      <c r="B260" s="2" t="str">
        <f t="shared" si="312"/>
        <v>华南支社</v>
      </c>
      <c r="C260" s="2" t="str">
        <f t="shared" si="313"/>
        <v>PR 深圳天虹(CJ54)</v>
      </c>
      <c r="D260" s="2" t="str">
        <f t="shared" si="293"/>
        <v>2026</v>
      </c>
      <c r="E260" s="2" t="str">
        <f t="shared" si="294"/>
        <v>夏</v>
      </c>
      <c r="F260" s="2" t="str">
        <f t="shared" si="295"/>
        <v>一般毛衣(SWEATER)(KW)</v>
      </c>
      <c r="H260" s="2" t="str">
        <f t="shared" si="296"/>
        <v>PRKWG2303M</v>
      </c>
      <c r="I260" s="2" t="str">
        <f t="shared" si="314"/>
        <v>(99)MIX99</v>
      </c>
      <c r="J260" s="2" t="str">
        <f t="shared" ref="J260:J263" si="317">"165"</f>
        <v>165</v>
      </c>
      <c r="K260" s="2" t="str">
        <f t="shared" ref="K260:K265" si="318">"PRKWG2303M99165"</f>
        <v>PRKWG2303M99165</v>
      </c>
      <c r="L260" s="2" t="str">
        <f t="shared" si="297"/>
        <v>899</v>
      </c>
      <c r="M260" s="1">
        <v>1</v>
      </c>
      <c r="N260" s="1">
        <v>899</v>
      </c>
      <c r="O260" s="1">
        <v>1</v>
      </c>
      <c r="P260" s="1">
        <v>899</v>
      </c>
      <c r="Q260" s="1">
        <v>0</v>
      </c>
      <c r="R260" s="1">
        <v>0</v>
      </c>
      <c r="S260" s="1">
        <v>0</v>
      </c>
      <c r="T260" s="1">
        <v>0</v>
      </c>
      <c r="U260" s="1">
        <v>1</v>
      </c>
      <c r="V260" s="1">
        <v>899</v>
      </c>
    </row>
    <row r="261" spans="1:22" x14ac:dyDescent="0.15">
      <c r="A261" s="2" t="str">
        <f t="shared" si="311"/>
        <v>CJ54</v>
      </c>
      <c r="B261" s="2" t="str">
        <f t="shared" si="312"/>
        <v>华南支社</v>
      </c>
      <c r="C261" s="2" t="str">
        <f t="shared" si="313"/>
        <v>PR 深圳天虹(CJ54)</v>
      </c>
      <c r="D261" s="2" t="str">
        <f t="shared" si="293"/>
        <v>2026</v>
      </c>
      <c r="E261" s="2" t="str">
        <f t="shared" si="294"/>
        <v>夏</v>
      </c>
      <c r="F261" s="2" t="str">
        <f t="shared" si="295"/>
        <v>一般毛衣(SWEATER)(KW)</v>
      </c>
      <c r="H261" s="2" t="str">
        <f t="shared" si="296"/>
        <v>PRKWG2303M</v>
      </c>
      <c r="I261" s="2" t="str">
        <f t="shared" si="314"/>
        <v>(99)MIX99</v>
      </c>
      <c r="J261" s="2" t="str">
        <f>"170"</f>
        <v>170</v>
      </c>
      <c r="K261" s="2" t="str">
        <f>"PRKWG2303M99170"</f>
        <v>PRKWG2303M99170</v>
      </c>
      <c r="L261" s="2" t="str">
        <f t="shared" si="297"/>
        <v>899</v>
      </c>
      <c r="M261" s="1">
        <v>1</v>
      </c>
      <c r="N261" s="1">
        <v>899</v>
      </c>
      <c r="O261" s="1">
        <v>1</v>
      </c>
      <c r="P261" s="1">
        <v>899</v>
      </c>
      <c r="Q261" s="1">
        <v>0</v>
      </c>
      <c r="R261" s="1">
        <v>0</v>
      </c>
      <c r="S261" s="1">
        <v>0</v>
      </c>
      <c r="T261" s="1">
        <v>0</v>
      </c>
      <c r="U261" s="1">
        <v>1</v>
      </c>
      <c r="V261" s="1">
        <v>899</v>
      </c>
    </row>
    <row r="262" spans="1:22" x14ac:dyDescent="0.15">
      <c r="A262" s="2" t="str">
        <f>"CJ5S"</f>
        <v>CJ5S</v>
      </c>
      <c r="B262" s="2" t="str">
        <f t="shared" ref="B262:B266" si="319">"西北支社"</f>
        <v>西北支社</v>
      </c>
      <c r="C262" s="2" t="str">
        <f>"PR 兰州西太华(CJ5S)"</f>
        <v>PR 兰州西太华(CJ5S)</v>
      </c>
      <c r="D262" s="2" t="str">
        <f t="shared" si="293"/>
        <v>2026</v>
      </c>
      <c r="E262" s="2" t="str">
        <f t="shared" si="294"/>
        <v>夏</v>
      </c>
      <c r="F262" s="2" t="str">
        <f t="shared" si="295"/>
        <v>一般毛衣(SWEATER)(KW)</v>
      </c>
      <c r="H262" s="2" t="str">
        <f t="shared" si="296"/>
        <v>PRKWG2303M</v>
      </c>
      <c r="I262" s="2" t="str">
        <f t="shared" si="314"/>
        <v>(99)MIX99</v>
      </c>
      <c r="J262" s="2" t="str">
        <f t="shared" si="315"/>
        <v>160</v>
      </c>
      <c r="K262" s="2" t="str">
        <f t="shared" si="316"/>
        <v>PRKWG2303M99160</v>
      </c>
      <c r="L262" s="2" t="str">
        <f t="shared" si="297"/>
        <v>899</v>
      </c>
      <c r="M262" s="1">
        <v>2</v>
      </c>
      <c r="N262" s="1">
        <v>1798</v>
      </c>
      <c r="O262" s="1">
        <v>2</v>
      </c>
      <c r="P262" s="1">
        <v>1798</v>
      </c>
      <c r="Q262" s="1">
        <v>0</v>
      </c>
      <c r="R262" s="1">
        <v>0</v>
      </c>
      <c r="S262" s="1">
        <v>1</v>
      </c>
      <c r="T262" s="1">
        <v>899</v>
      </c>
      <c r="U262" s="1">
        <v>3</v>
      </c>
      <c r="V262" s="1">
        <v>2697</v>
      </c>
    </row>
    <row r="263" spans="1:22" x14ac:dyDescent="0.15">
      <c r="A263" s="2" t="str">
        <f>"CJ5S"</f>
        <v>CJ5S</v>
      </c>
      <c r="B263" s="2" t="str">
        <f t="shared" si="319"/>
        <v>西北支社</v>
      </c>
      <c r="C263" s="2" t="str">
        <f>"PR 兰州西太华(CJ5S)"</f>
        <v>PR 兰州西太华(CJ5S)</v>
      </c>
      <c r="D263" s="2" t="str">
        <f t="shared" si="293"/>
        <v>2026</v>
      </c>
      <c r="E263" s="2" t="str">
        <f t="shared" si="294"/>
        <v>夏</v>
      </c>
      <c r="F263" s="2" t="str">
        <f t="shared" si="295"/>
        <v>一般毛衣(SWEATER)(KW)</v>
      </c>
      <c r="H263" s="2" t="str">
        <f t="shared" si="296"/>
        <v>PRKWG2303M</v>
      </c>
      <c r="I263" s="2" t="str">
        <f t="shared" si="314"/>
        <v>(99)MIX99</v>
      </c>
      <c r="J263" s="2" t="str">
        <f t="shared" si="317"/>
        <v>165</v>
      </c>
      <c r="K263" s="2" t="str">
        <f t="shared" si="318"/>
        <v>PRKWG2303M99165</v>
      </c>
      <c r="L263" s="2" t="str">
        <f t="shared" si="297"/>
        <v>899</v>
      </c>
      <c r="M263" s="1">
        <v>1</v>
      </c>
      <c r="N263" s="1">
        <v>899</v>
      </c>
      <c r="O263" s="1">
        <v>1</v>
      </c>
      <c r="P263" s="1">
        <v>899</v>
      </c>
      <c r="Q263" s="1">
        <v>0</v>
      </c>
      <c r="R263" s="1">
        <v>0</v>
      </c>
      <c r="S263" s="1">
        <v>1</v>
      </c>
      <c r="T263" s="1">
        <v>899</v>
      </c>
      <c r="U263" s="1">
        <v>2</v>
      </c>
      <c r="V263" s="1">
        <v>1798</v>
      </c>
    </row>
    <row r="264" spans="1:22" x14ac:dyDescent="0.15">
      <c r="A264" s="2" t="str">
        <f t="shared" ref="A264:A266" si="320">"CJ5T"</f>
        <v>CJ5T</v>
      </c>
      <c r="B264" s="2" t="str">
        <f t="shared" si="319"/>
        <v>西北支社</v>
      </c>
      <c r="C264" s="2" t="str">
        <f t="shared" ref="C264:C266" si="321">"PR 兰州亚欧商厦(CJ5T)"</f>
        <v>PR 兰州亚欧商厦(CJ5T)</v>
      </c>
      <c r="D264" s="2" t="str">
        <f t="shared" si="293"/>
        <v>2026</v>
      </c>
      <c r="E264" s="2" t="str">
        <f t="shared" si="294"/>
        <v>夏</v>
      </c>
      <c r="F264" s="2" t="str">
        <f t="shared" si="295"/>
        <v>一般毛衣(SWEATER)(KW)</v>
      </c>
      <c r="H264" s="2" t="str">
        <f t="shared" si="296"/>
        <v>PRKWG2303M</v>
      </c>
      <c r="I264" s="2" t="str">
        <f t="shared" si="314"/>
        <v>(99)MIX99</v>
      </c>
      <c r="J264" s="2" t="str">
        <f>"160"</f>
        <v>160</v>
      </c>
      <c r="K264" s="2" t="str">
        <f t="shared" si="316"/>
        <v>PRKWG2303M99160</v>
      </c>
      <c r="L264" s="2" t="str">
        <f t="shared" si="297"/>
        <v>899</v>
      </c>
      <c r="M264" s="1">
        <v>2</v>
      </c>
      <c r="N264" s="1">
        <v>1798</v>
      </c>
      <c r="O264" s="1">
        <v>2</v>
      </c>
      <c r="P264" s="1">
        <v>1798</v>
      </c>
      <c r="Q264" s="1">
        <v>0</v>
      </c>
      <c r="R264" s="1">
        <v>0</v>
      </c>
      <c r="S264" s="1">
        <v>0</v>
      </c>
      <c r="T264" s="1">
        <v>0</v>
      </c>
      <c r="U264" s="1">
        <v>2</v>
      </c>
      <c r="V264" s="1">
        <v>1798</v>
      </c>
    </row>
    <row r="265" spans="1:22" x14ac:dyDescent="0.15">
      <c r="A265" s="2" t="str">
        <f t="shared" si="320"/>
        <v>CJ5T</v>
      </c>
      <c r="B265" s="2" t="str">
        <f t="shared" si="319"/>
        <v>西北支社</v>
      </c>
      <c r="C265" s="2" t="str">
        <f t="shared" si="321"/>
        <v>PR 兰州亚欧商厦(CJ5T)</v>
      </c>
      <c r="D265" s="2" t="str">
        <f t="shared" si="293"/>
        <v>2026</v>
      </c>
      <c r="E265" s="2" t="str">
        <f t="shared" si="294"/>
        <v>夏</v>
      </c>
      <c r="F265" s="2" t="str">
        <f t="shared" si="295"/>
        <v>一般毛衣(SWEATER)(KW)</v>
      </c>
      <c r="H265" s="2" t="str">
        <f t="shared" si="296"/>
        <v>PRKWG2303M</v>
      </c>
      <c r="I265" s="2" t="str">
        <f t="shared" si="314"/>
        <v>(99)MIX99</v>
      </c>
      <c r="J265" s="2" t="str">
        <f>"165"</f>
        <v>165</v>
      </c>
      <c r="K265" s="2" t="str">
        <f t="shared" si="318"/>
        <v>PRKWG2303M99165</v>
      </c>
      <c r="L265" s="2" t="str">
        <f t="shared" si="297"/>
        <v>899</v>
      </c>
      <c r="M265" s="1">
        <v>1</v>
      </c>
      <c r="N265" s="1">
        <v>899</v>
      </c>
      <c r="O265" s="1">
        <v>1</v>
      </c>
      <c r="P265" s="1">
        <v>899</v>
      </c>
      <c r="Q265" s="1">
        <v>0</v>
      </c>
      <c r="R265" s="1">
        <v>0</v>
      </c>
      <c r="S265" s="1">
        <v>1</v>
      </c>
      <c r="T265" s="1">
        <v>899</v>
      </c>
      <c r="U265" s="1">
        <v>2</v>
      </c>
      <c r="V265" s="1">
        <v>1798</v>
      </c>
    </row>
    <row r="266" spans="1:22" x14ac:dyDescent="0.15">
      <c r="A266" s="2" t="str">
        <f t="shared" si="320"/>
        <v>CJ5T</v>
      </c>
      <c r="B266" s="2" t="str">
        <f t="shared" si="319"/>
        <v>西北支社</v>
      </c>
      <c r="C266" s="2" t="str">
        <f t="shared" si="321"/>
        <v>PR 兰州亚欧商厦(CJ5T)</v>
      </c>
      <c r="D266" s="2" t="str">
        <f t="shared" si="293"/>
        <v>2026</v>
      </c>
      <c r="E266" s="2" t="str">
        <f t="shared" si="294"/>
        <v>夏</v>
      </c>
      <c r="F266" s="2" t="str">
        <f t="shared" si="295"/>
        <v>一般毛衣(SWEATER)(KW)</v>
      </c>
      <c r="H266" s="2" t="str">
        <f t="shared" si="296"/>
        <v>PRKWG2303M</v>
      </c>
      <c r="I266" s="2" t="str">
        <f t="shared" si="314"/>
        <v>(99)MIX99</v>
      </c>
      <c r="J266" s="2" t="str">
        <f>"170"</f>
        <v>170</v>
      </c>
      <c r="K266" s="2" t="str">
        <f>"PRKWG2303M99170"</f>
        <v>PRKWG2303M99170</v>
      </c>
      <c r="L266" s="2" t="str">
        <f t="shared" si="297"/>
        <v>899</v>
      </c>
      <c r="M266" s="1">
        <v>1</v>
      </c>
      <c r="N266" s="1">
        <v>899</v>
      </c>
      <c r="O266" s="1">
        <v>1</v>
      </c>
      <c r="P266" s="1">
        <v>899</v>
      </c>
      <c r="Q266" s="1">
        <v>0</v>
      </c>
      <c r="R266" s="1">
        <v>0</v>
      </c>
      <c r="S266" s="1">
        <v>0</v>
      </c>
      <c r="T266" s="1">
        <v>0</v>
      </c>
      <c r="U266" s="1">
        <v>1</v>
      </c>
      <c r="V266" s="1">
        <v>899</v>
      </c>
    </row>
    <row r="267" spans="1:22" x14ac:dyDescent="0.15">
      <c r="A267" s="2" t="str">
        <f t="shared" ref="A267:A269" si="322">"CJEB"</f>
        <v>CJEB</v>
      </c>
      <c r="B267" s="2" t="str">
        <f t="shared" ref="B267:B269" si="323">"华中支社"</f>
        <v>华中支社</v>
      </c>
      <c r="C267" s="2" t="str">
        <f t="shared" ref="C267:C269" si="324">"PR 武汉21世纪购物中心(CJEB)"</f>
        <v>PR 武汉21世纪购物中心(CJEB)</v>
      </c>
      <c r="D267" s="2" t="str">
        <f t="shared" si="293"/>
        <v>2026</v>
      </c>
      <c r="E267" s="2" t="str">
        <f t="shared" si="294"/>
        <v>夏</v>
      </c>
      <c r="F267" s="2" t="str">
        <f t="shared" si="295"/>
        <v>一般毛衣(SWEATER)(KW)</v>
      </c>
      <c r="H267" s="2" t="str">
        <f t="shared" si="296"/>
        <v>PRKWG2303M</v>
      </c>
      <c r="I267" s="2" t="str">
        <f t="shared" si="314"/>
        <v>(99)MIX99</v>
      </c>
      <c r="J267" s="2" t="str">
        <f>"160"</f>
        <v>160</v>
      </c>
      <c r="K267" s="2" t="str">
        <f>"PRKWG2303M99160"</f>
        <v>PRKWG2303M99160</v>
      </c>
      <c r="L267" s="2" t="str">
        <f t="shared" si="297"/>
        <v>899</v>
      </c>
      <c r="M267" s="1">
        <v>2</v>
      </c>
      <c r="N267" s="1">
        <v>1798</v>
      </c>
      <c r="O267" s="1">
        <v>2</v>
      </c>
      <c r="P267" s="1">
        <v>1798</v>
      </c>
      <c r="Q267" s="1">
        <v>0</v>
      </c>
      <c r="R267" s="1">
        <v>0</v>
      </c>
      <c r="S267" s="1">
        <v>0</v>
      </c>
      <c r="T267" s="1">
        <v>0</v>
      </c>
      <c r="U267" s="1">
        <v>2</v>
      </c>
      <c r="V267" s="1">
        <v>1798</v>
      </c>
    </row>
    <row r="268" spans="1:22" x14ac:dyDescent="0.15">
      <c r="A268" s="2" t="str">
        <f t="shared" si="322"/>
        <v>CJEB</v>
      </c>
      <c r="B268" s="2" t="str">
        <f t="shared" si="323"/>
        <v>华中支社</v>
      </c>
      <c r="C268" s="2" t="str">
        <f t="shared" si="324"/>
        <v>PR 武汉21世纪购物中心(CJEB)</v>
      </c>
      <c r="D268" s="2" t="str">
        <f t="shared" si="293"/>
        <v>2026</v>
      </c>
      <c r="E268" s="2" t="str">
        <f t="shared" si="294"/>
        <v>夏</v>
      </c>
      <c r="F268" s="2" t="str">
        <f t="shared" si="295"/>
        <v>一般毛衣(SWEATER)(KW)</v>
      </c>
      <c r="H268" s="2" t="str">
        <f t="shared" si="296"/>
        <v>PRKWG2303M</v>
      </c>
      <c r="I268" s="2" t="str">
        <f t="shared" si="314"/>
        <v>(99)MIX99</v>
      </c>
      <c r="J268" s="2" t="str">
        <f>"165"</f>
        <v>165</v>
      </c>
      <c r="K268" s="2" t="str">
        <f>"PRKWG2303M99165"</f>
        <v>PRKWG2303M99165</v>
      </c>
      <c r="L268" s="2" t="str">
        <f t="shared" si="297"/>
        <v>899</v>
      </c>
      <c r="M268" s="1">
        <v>1</v>
      </c>
      <c r="N268" s="1">
        <v>899</v>
      </c>
      <c r="O268" s="1">
        <v>1</v>
      </c>
      <c r="P268" s="1">
        <v>899</v>
      </c>
      <c r="Q268" s="1">
        <v>0</v>
      </c>
      <c r="R268" s="1">
        <v>0</v>
      </c>
      <c r="S268" s="1">
        <v>0</v>
      </c>
      <c r="T268" s="1">
        <v>0</v>
      </c>
      <c r="U268" s="1">
        <v>1</v>
      </c>
      <c r="V268" s="1">
        <v>899</v>
      </c>
    </row>
    <row r="269" spans="1:22" x14ac:dyDescent="0.15">
      <c r="A269" s="2" t="str">
        <f t="shared" si="322"/>
        <v>CJEB</v>
      </c>
      <c r="B269" s="2" t="str">
        <f t="shared" si="323"/>
        <v>华中支社</v>
      </c>
      <c r="C269" s="2" t="str">
        <f t="shared" si="324"/>
        <v>PR 武汉21世纪购物中心(CJEB)</v>
      </c>
      <c r="D269" s="2" t="str">
        <f t="shared" si="293"/>
        <v>2026</v>
      </c>
      <c r="E269" s="2" t="str">
        <f t="shared" si="294"/>
        <v>夏</v>
      </c>
      <c r="F269" s="2" t="str">
        <f t="shared" si="295"/>
        <v>一般毛衣(SWEATER)(KW)</v>
      </c>
      <c r="H269" s="2" t="str">
        <f t="shared" si="296"/>
        <v>PRKWG2303M</v>
      </c>
      <c r="I269" s="2" t="str">
        <f t="shared" si="314"/>
        <v>(99)MIX99</v>
      </c>
      <c r="J269" s="2" t="str">
        <f>"170"</f>
        <v>170</v>
      </c>
      <c r="K269" s="2" t="str">
        <f>"PRKWG2303M99170"</f>
        <v>PRKWG2303M99170</v>
      </c>
      <c r="L269" s="2" t="str">
        <f t="shared" si="297"/>
        <v>899</v>
      </c>
      <c r="M269" s="1">
        <v>1</v>
      </c>
      <c r="N269" s="1">
        <v>899</v>
      </c>
      <c r="O269" s="1">
        <v>1</v>
      </c>
      <c r="P269" s="1">
        <v>899</v>
      </c>
      <c r="Q269" s="1">
        <v>0</v>
      </c>
      <c r="R269" s="1">
        <v>0</v>
      </c>
      <c r="S269" s="1">
        <v>0</v>
      </c>
      <c r="T269" s="1">
        <v>0</v>
      </c>
      <c r="U269" s="1">
        <v>1</v>
      </c>
      <c r="V269" s="1">
        <v>899</v>
      </c>
    </row>
    <row r="270" spans="1:22" x14ac:dyDescent="0.15">
      <c r="A270" s="2" t="str">
        <f t="shared" ref="A270:A273" si="325">"CJG8"</f>
        <v>CJG8</v>
      </c>
      <c r="B270" s="2" t="str">
        <f t="shared" ref="B270:B273" si="326">"西北支社"</f>
        <v>西北支社</v>
      </c>
      <c r="C270" s="2" t="str">
        <f t="shared" ref="C270:C273" si="327">"PR 兰州中心(CJG8)"</f>
        <v>PR 兰州中心(CJG8)</v>
      </c>
      <c r="D270" s="2" t="str">
        <f t="shared" si="293"/>
        <v>2026</v>
      </c>
      <c r="E270" s="2" t="str">
        <f t="shared" si="294"/>
        <v>夏</v>
      </c>
      <c r="F270" s="2" t="str">
        <f t="shared" si="295"/>
        <v>一般毛衣(SWEATER)(KW)</v>
      </c>
      <c r="H270" s="2" t="str">
        <f t="shared" si="296"/>
        <v>PRKWG2303M</v>
      </c>
      <c r="I270" s="2" t="str">
        <f t="shared" ref="I270:I285" si="328">"(99)MIX99"</f>
        <v>(99)MIX99</v>
      </c>
      <c r="J270" s="2" t="str">
        <f>"155"</f>
        <v>155</v>
      </c>
      <c r="K270" s="2" t="str">
        <f>"PRKWG2303M99155"</f>
        <v>PRKWG2303M99155</v>
      </c>
      <c r="L270" s="2" t="str">
        <f t="shared" si="297"/>
        <v>899</v>
      </c>
      <c r="M270" s="1">
        <v>1</v>
      </c>
      <c r="N270" s="1">
        <v>899</v>
      </c>
      <c r="O270" s="1">
        <v>1</v>
      </c>
      <c r="P270" s="1">
        <v>899</v>
      </c>
      <c r="Q270" s="1">
        <v>0</v>
      </c>
      <c r="R270" s="1">
        <v>0</v>
      </c>
      <c r="S270" s="1">
        <v>0</v>
      </c>
      <c r="T270" s="1">
        <v>0</v>
      </c>
      <c r="U270" s="1">
        <v>1</v>
      </c>
      <c r="V270" s="1">
        <v>899</v>
      </c>
    </row>
    <row r="271" spans="1:22" x14ac:dyDescent="0.15">
      <c r="A271" s="2" t="str">
        <f t="shared" si="325"/>
        <v>CJG8</v>
      </c>
      <c r="B271" s="2" t="str">
        <f t="shared" si="326"/>
        <v>西北支社</v>
      </c>
      <c r="C271" s="2" t="str">
        <f t="shared" si="327"/>
        <v>PR 兰州中心(CJG8)</v>
      </c>
      <c r="D271" s="2" t="str">
        <f t="shared" si="293"/>
        <v>2026</v>
      </c>
      <c r="E271" s="2" t="str">
        <f t="shared" si="294"/>
        <v>夏</v>
      </c>
      <c r="F271" s="2" t="str">
        <f t="shared" si="295"/>
        <v>一般毛衣(SWEATER)(KW)</v>
      </c>
      <c r="H271" s="2" t="str">
        <f t="shared" si="296"/>
        <v>PRKWG2303M</v>
      </c>
      <c r="I271" s="2" t="str">
        <f t="shared" si="328"/>
        <v>(99)MIX99</v>
      </c>
      <c r="J271" s="2" t="str">
        <f>"160"</f>
        <v>160</v>
      </c>
      <c r="K271" s="2" t="str">
        <f>"PRKWG2303M99160"</f>
        <v>PRKWG2303M99160</v>
      </c>
      <c r="L271" s="2" t="str">
        <f t="shared" si="297"/>
        <v>899</v>
      </c>
      <c r="M271" s="1">
        <v>1</v>
      </c>
      <c r="N271" s="1">
        <v>899</v>
      </c>
      <c r="O271" s="1">
        <v>1</v>
      </c>
      <c r="P271" s="1">
        <v>899</v>
      </c>
      <c r="Q271" s="1">
        <v>0</v>
      </c>
      <c r="R271" s="1">
        <v>0</v>
      </c>
      <c r="S271" s="1">
        <v>5</v>
      </c>
      <c r="T271" s="1">
        <v>4495</v>
      </c>
      <c r="U271" s="1">
        <v>6</v>
      </c>
      <c r="V271" s="1">
        <v>5394</v>
      </c>
    </row>
    <row r="272" spans="1:22" x14ac:dyDescent="0.15">
      <c r="A272" s="2" t="str">
        <f t="shared" si="325"/>
        <v>CJG8</v>
      </c>
      <c r="B272" s="2" t="str">
        <f t="shared" si="326"/>
        <v>西北支社</v>
      </c>
      <c r="C272" s="2" t="str">
        <f t="shared" si="327"/>
        <v>PR 兰州中心(CJG8)</v>
      </c>
      <c r="D272" s="2" t="str">
        <f t="shared" si="293"/>
        <v>2026</v>
      </c>
      <c r="E272" s="2" t="str">
        <f t="shared" si="294"/>
        <v>夏</v>
      </c>
      <c r="F272" s="2" t="str">
        <f t="shared" si="295"/>
        <v>一般毛衣(SWEATER)(KW)</v>
      </c>
      <c r="H272" s="2" t="str">
        <f t="shared" si="296"/>
        <v>PRKWG2303M</v>
      </c>
      <c r="I272" s="2" t="str">
        <f t="shared" si="328"/>
        <v>(99)MIX99</v>
      </c>
      <c r="J272" s="2" t="str">
        <f>"165"</f>
        <v>165</v>
      </c>
      <c r="K272" s="2" t="str">
        <f>"PRKWG2303M99165"</f>
        <v>PRKWG2303M99165</v>
      </c>
      <c r="L272" s="2" t="str">
        <f t="shared" si="297"/>
        <v>899</v>
      </c>
      <c r="M272" s="1">
        <v>6</v>
      </c>
      <c r="N272" s="1">
        <v>5394</v>
      </c>
      <c r="O272" s="1">
        <v>6</v>
      </c>
      <c r="P272" s="1">
        <v>5394</v>
      </c>
      <c r="Q272" s="1">
        <v>0</v>
      </c>
      <c r="R272" s="1">
        <v>0</v>
      </c>
      <c r="S272" s="1">
        <v>0</v>
      </c>
      <c r="T272" s="1">
        <v>0</v>
      </c>
      <c r="U272" s="1">
        <v>6</v>
      </c>
      <c r="V272" s="1">
        <v>5394</v>
      </c>
    </row>
    <row r="273" spans="1:22" x14ac:dyDescent="0.15">
      <c r="A273" s="2" t="str">
        <f t="shared" si="325"/>
        <v>CJG8</v>
      </c>
      <c r="B273" s="2" t="str">
        <f t="shared" si="326"/>
        <v>西北支社</v>
      </c>
      <c r="C273" s="2" t="str">
        <f t="shared" si="327"/>
        <v>PR 兰州中心(CJG8)</v>
      </c>
      <c r="D273" s="2" t="str">
        <f t="shared" si="293"/>
        <v>2026</v>
      </c>
      <c r="E273" s="2" t="str">
        <f t="shared" si="294"/>
        <v>夏</v>
      </c>
      <c r="F273" s="2" t="str">
        <f t="shared" si="295"/>
        <v>一般毛衣(SWEATER)(KW)</v>
      </c>
      <c r="H273" s="2" t="str">
        <f t="shared" si="296"/>
        <v>PRKWG2303M</v>
      </c>
      <c r="I273" s="2" t="str">
        <f t="shared" si="328"/>
        <v>(99)MIX99</v>
      </c>
      <c r="J273" s="2" t="str">
        <f>"170"</f>
        <v>170</v>
      </c>
      <c r="K273" s="2" t="str">
        <f>"PRKWG2303M99170"</f>
        <v>PRKWG2303M99170</v>
      </c>
      <c r="L273" s="2" t="str">
        <f t="shared" si="297"/>
        <v>899</v>
      </c>
      <c r="M273" s="1">
        <v>2</v>
      </c>
      <c r="N273" s="1">
        <v>1798</v>
      </c>
      <c r="O273" s="1">
        <v>2</v>
      </c>
      <c r="P273" s="1">
        <v>1798</v>
      </c>
      <c r="Q273" s="1">
        <v>0</v>
      </c>
      <c r="R273" s="1">
        <v>0</v>
      </c>
      <c r="S273" s="1">
        <v>0</v>
      </c>
      <c r="T273" s="1">
        <v>0</v>
      </c>
      <c r="U273" s="1">
        <v>2</v>
      </c>
      <c r="V273" s="1">
        <v>1798</v>
      </c>
    </row>
    <row r="274" spans="1:22" x14ac:dyDescent="0.15">
      <c r="A274" s="2" t="str">
        <f t="shared" ref="A274:A276" si="329">"CJGW"</f>
        <v>CJGW</v>
      </c>
      <c r="B274" s="2" t="str">
        <f t="shared" ref="B274:B276" si="330">"北京支社"</f>
        <v>北京支社</v>
      </c>
      <c r="C274" s="2" t="str">
        <f t="shared" ref="C274:C276" si="331">"PR 廊坊万达百货(CJGW)"</f>
        <v>PR 廊坊万达百货(CJGW)</v>
      </c>
      <c r="D274" s="2" t="str">
        <f t="shared" si="293"/>
        <v>2026</v>
      </c>
      <c r="E274" s="2" t="str">
        <f t="shared" si="294"/>
        <v>夏</v>
      </c>
      <c r="F274" s="2" t="str">
        <f t="shared" si="295"/>
        <v>一般毛衣(SWEATER)(KW)</v>
      </c>
      <c r="H274" s="2" t="str">
        <f t="shared" si="296"/>
        <v>PRKWG2303M</v>
      </c>
      <c r="I274" s="2" t="str">
        <f t="shared" si="328"/>
        <v>(99)MIX99</v>
      </c>
      <c r="J274" s="2" t="str">
        <f>"160"</f>
        <v>160</v>
      </c>
      <c r="K274" s="2" t="str">
        <f>"PRKWG2303M99160"</f>
        <v>PRKWG2303M99160</v>
      </c>
      <c r="L274" s="2" t="str">
        <f t="shared" si="297"/>
        <v>899</v>
      </c>
      <c r="M274" s="1">
        <v>3</v>
      </c>
      <c r="N274" s="1">
        <v>2697</v>
      </c>
      <c r="O274" s="1">
        <v>3</v>
      </c>
      <c r="P274" s="1">
        <v>2697</v>
      </c>
      <c r="Q274" s="1">
        <v>0</v>
      </c>
      <c r="R274" s="1">
        <v>0</v>
      </c>
      <c r="S274" s="1">
        <v>0</v>
      </c>
      <c r="T274" s="1">
        <v>0</v>
      </c>
      <c r="U274" s="1">
        <v>3</v>
      </c>
      <c r="V274" s="1">
        <v>2697</v>
      </c>
    </row>
    <row r="275" spans="1:22" x14ac:dyDescent="0.15">
      <c r="A275" s="2" t="str">
        <f t="shared" si="329"/>
        <v>CJGW</v>
      </c>
      <c r="B275" s="2" t="str">
        <f t="shared" si="330"/>
        <v>北京支社</v>
      </c>
      <c r="C275" s="2" t="str">
        <f t="shared" si="331"/>
        <v>PR 廊坊万达百货(CJGW)</v>
      </c>
      <c r="D275" s="2" t="str">
        <f t="shared" si="293"/>
        <v>2026</v>
      </c>
      <c r="E275" s="2" t="str">
        <f t="shared" si="294"/>
        <v>夏</v>
      </c>
      <c r="F275" s="2" t="str">
        <f t="shared" si="295"/>
        <v>一般毛衣(SWEATER)(KW)</v>
      </c>
      <c r="H275" s="2" t="str">
        <f t="shared" si="296"/>
        <v>PRKWG2303M</v>
      </c>
      <c r="I275" s="2" t="str">
        <f t="shared" si="328"/>
        <v>(99)MIX99</v>
      </c>
      <c r="J275" s="2" t="str">
        <f>"165"</f>
        <v>165</v>
      </c>
      <c r="K275" s="2" t="str">
        <f>"PRKWG2303M99165"</f>
        <v>PRKWG2303M99165</v>
      </c>
      <c r="L275" s="2" t="str">
        <f t="shared" si="297"/>
        <v>899</v>
      </c>
      <c r="M275" s="1">
        <v>2</v>
      </c>
      <c r="N275" s="1">
        <v>1798</v>
      </c>
      <c r="O275" s="1">
        <v>2</v>
      </c>
      <c r="P275" s="1">
        <v>1798</v>
      </c>
      <c r="Q275" s="1">
        <v>0</v>
      </c>
      <c r="R275" s="1">
        <v>0</v>
      </c>
      <c r="S275" s="1">
        <v>0</v>
      </c>
      <c r="T275" s="1">
        <v>0</v>
      </c>
      <c r="U275" s="1">
        <v>2</v>
      </c>
      <c r="V275" s="1">
        <v>1798</v>
      </c>
    </row>
    <row r="276" spans="1:22" x14ac:dyDescent="0.15">
      <c r="A276" s="2" t="str">
        <f t="shared" si="329"/>
        <v>CJGW</v>
      </c>
      <c r="B276" s="2" t="str">
        <f t="shared" si="330"/>
        <v>北京支社</v>
      </c>
      <c r="C276" s="2" t="str">
        <f t="shared" si="331"/>
        <v>PR 廊坊万达百货(CJGW)</v>
      </c>
      <c r="D276" s="2" t="str">
        <f t="shared" si="293"/>
        <v>2026</v>
      </c>
      <c r="E276" s="2" t="str">
        <f t="shared" si="294"/>
        <v>夏</v>
      </c>
      <c r="F276" s="2" t="str">
        <f t="shared" si="295"/>
        <v>一般毛衣(SWEATER)(KW)</v>
      </c>
      <c r="H276" s="2" t="str">
        <f t="shared" si="296"/>
        <v>PRKWG2303M</v>
      </c>
      <c r="I276" s="2" t="str">
        <f t="shared" si="328"/>
        <v>(99)MIX99</v>
      </c>
      <c r="J276" s="2" t="str">
        <f>"170"</f>
        <v>170</v>
      </c>
      <c r="K276" s="2" t="str">
        <f>"PRKWG2303M99170"</f>
        <v>PRKWG2303M99170</v>
      </c>
      <c r="L276" s="2" t="str">
        <f t="shared" si="297"/>
        <v>899</v>
      </c>
      <c r="M276" s="1">
        <v>1</v>
      </c>
      <c r="N276" s="1">
        <v>899</v>
      </c>
      <c r="O276" s="1">
        <v>1</v>
      </c>
      <c r="P276" s="1">
        <v>899</v>
      </c>
      <c r="Q276" s="1">
        <v>0</v>
      </c>
      <c r="R276" s="1">
        <v>0</v>
      </c>
      <c r="S276" s="1">
        <v>0</v>
      </c>
      <c r="T276" s="1">
        <v>0</v>
      </c>
      <c r="U276" s="1">
        <v>1</v>
      </c>
      <c r="V276" s="1">
        <v>899</v>
      </c>
    </row>
    <row r="277" spans="1:22" x14ac:dyDescent="0.15">
      <c r="A277" s="2" t="str">
        <f t="shared" ref="A277:A279" si="332">"CJO8"</f>
        <v>CJO8</v>
      </c>
      <c r="B277" s="2" t="str">
        <f t="shared" ref="B277:B279" si="333">"华中支社"</f>
        <v>华中支社</v>
      </c>
      <c r="C277" s="2" t="str">
        <f t="shared" ref="C277:C279" si="334">"PR 武汉首创奥特莱斯(CJO8)"</f>
        <v>PR 武汉首创奥特莱斯(CJO8)</v>
      </c>
      <c r="D277" s="2" t="str">
        <f t="shared" si="293"/>
        <v>2026</v>
      </c>
      <c r="E277" s="2" t="str">
        <f t="shared" si="294"/>
        <v>夏</v>
      </c>
      <c r="F277" s="2" t="str">
        <f t="shared" si="295"/>
        <v>一般毛衣(SWEATER)(KW)</v>
      </c>
      <c r="H277" s="2" t="str">
        <f t="shared" si="296"/>
        <v>PRKWG2303M</v>
      </c>
      <c r="I277" s="2" t="str">
        <f t="shared" si="328"/>
        <v>(99)MIX99</v>
      </c>
      <c r="J277" s="2" t="str">
        <f>"160"</f>
        <v>160</v>
      </c>
      <c r="K277" s="2" t="str">
        <f>"PRKWG2303M99160"</f>
        <v>PRKWG2303M99160</v>
      </c>
      <c r="L277" s="2" t="str">
        <f t="shared" si="297"/>
        <v>899</v>
      </c>
      <c r="M277" s="1">
        <v>2</v>
      </c>
      <c r="N277" s="1">
        <v>1798</v>
      </c>
      <c r="O277" s="1">
        <v>2</v>
      </c>
      <c r="P277" s="1">
        <v>1798</v>
      </c>
      <c r="Q277" s="1">
        <v>0</v>
      </c>
      <c r="R277" s="1">
        <v>0</v>
      </c>
      <c r="S277" s="1">
        <v>0</v>
      </c>
      <c r="T277" s="1">
        <v>0</v>
      </c>
      <c r="U277" s="1">
        <v>2</v>
      </c>
      <c r="V277" s="1">
        <v>1798</v>
      </c>
    </row>
    <row r="278" spans="1:22" x14ac:dyDescent="0.15">
      <c r="A278" s="2" t="str">
        <f t="shared" si="332"/>
        <v>CJO8</v>
      </c>
      <c r="B278" s="2" t="str">
        <f t="shared" si="333"/>
        <v>华中支社</v>
      </c>
      <c r="C278" s="2" t="str">
        <f t="shared" si="334"/>
        <v>PR 武汉首创奥特莱斯(CJO8)</v>
      </c>
      <c r="D278" s="2" t="str">
        <f t="shared" si="293"/>
        <v>2026</v>
      </c>
      <c r="E278" s="2" t="str">
        <f t="shared" si="294"/>
        <v>夏</v>
      </c>
      <c r="F278" s="2" t="str">
        <f t="shared" si="295"/>
        <v>一般毛衣(SWEATER)(KW)</v>
      </c>
      <c r="H278" s="2" t="str">
        <f t="shared" si="296"/>
        <v>PRKWG2303M</v>
      </c>
      <c r="I278" s="2" t="str">
        <f t="shared" si="328"/>
        <v>(99)MIX99</v>
      </c>
      <c r="J278" s="2" t="str">
        <f>"165"</f>
        <v>165</v>
      </c>
      <c r="K278" s="2" t="str">
        <f>"PRKWG2303M99165"</f>
        <v>PRKWG2303M99165</v>
      </c>
      <c r="L278" s="2" t="str">
        <f t="shared" si="297"/>
        <v>899</v>
      </c>
      <c r="M278" s="1">
        <v>2</v>
      </c>
      <c r="N278" s="1">
        <v>1798</v>
      </c>
      <c r="O278" s="1">
        <v>2</v>
      </c>
      <c r="P278" s="1">
        <v>1798</v>
      </c>
      <c r="Q278" s="1">
        <v>0</v>
      </c>
      <c r="R278" s="1">
        <v>0</v>
      </c>
      <c r="S278" s="1">
        <v>0</v>
      </c>
      <c r="T278" s="1">
        <v>0</v>
      </c>
      <c r="U278" s="1">
        <v>2</v>
      </c>
      <c r="V278" s="1">
        <v>1798</v>
      </c>
    </row>
    <row r="279" spans="1:22" x14ac:dyDescent="0.15">
      <c r="A279" s="2" t="str">
        <f t="shared" si="332"/>
        <v>CJO8</v>
      </c>
      <c r="B279" s="2" t="str">
        <f t="shared" si="333"/>
        <v>华中支社</v>
      </c>
      <c r="C279" s="2" t="str">
        <f t="shared" si="334"/>
        <v>PR 武汉首创奥特莱斯(CJO8)</v>
      </c>
      <c r="D279" s="2" t="str">
        <f t="shared" si="293"/>
        <v>2026</v>
      </c>
      <c r="E279" s="2" t="str">
        <f t="shared" si="294"/>
        <v>夏</v>
      </c>
      <c r="F279" s="2" t="str">
        <f t="shared" si="295"/>
        <v>一般毛衣(SWEATER)(KW)</v>
      </c>
      <c r="H279" s="2" t="str">
        <f t="shared" si="296"/>
        <v>PRKWG2303M</v>
      </c>
      <c r="I279" s="2" t="str">
        <f t="shared" si="328"/>
        <v>(99)MIX99</v>
      </c>
      <c r="J279" s="2" t="str">
        <f>"170"</f>
        <v>170</v>
      </c>
      <c r="K279" s="2" t="str">
        <f>"PRKWG2303M99170"</f>
        <v>PRKWG2303M99170</v>
      </c>
      <c r="L279" s="2" t="str">
        <f t="shared" si="297"/>
        <v>899</v>
      </c>
      <c r="M279" s="1">
        <v>1</v>
      </c>
      <c r="N279" s="1">
        <v>899</v>
      </c>
      <c r="O279" s="1">
        <v>1</v>
      </c>
      <c r="P279" s="1">
        <v>899</v>
      </c>
      <c r="Q279" s="1">
        <v>0</v>
      </c>
      <c r="R279" s="1">
        <v>0</v>
      </c>
      <c r="S279" s="1">
        <v>0</v>
      </c>
      <c r="T279" s="1">
        <v>0</v>
      </c>
      <c r="U279" s="1">
        <v>1</v>
      </c>
      <c r="V279" s="1">
        <v>899</v>
      </c>
    </row>
    <row r="280" spans="1:22" x14ac:dyDescent="0.15">
      <c r="A280" s="2" t="str">
        <f t="shared" ref="A280:A282" si="335">"CJQ9"</f>
        <v>CJQ9</v>
      </c>
      <c r="B280" s="2" t="str">
        <f t="shared" ref="B280:B282" si="336">"北京支社"</f>
        <v>北京支社</v>
      </c>
      <c r="C280" s="2" t="str">
        <f t="shared" ref="C280:C282" si="337">"PR 北京石景山万达百货(CJQ9)"</f>
        <v>PR 北京石景山万达百货(CJQ9)</v>
      </c>
      <c r="D280" s="2" t="str">
        <f t="shared" si="293"/>
        <v>2026</v>
      </c>
      <c r="E280" s="2" t="str">
        <f t="shared" si="294"/>
        <v>夏</v>
      </c>
      <c r="F280" s="2" t="str">
        <f t="shared" si="295"/>
        <v>一般毛衣(SWEATER)(KW)</v>
      </c>
      <c r="H280" s="2" t="str">
        <f t="shared" si="296"/>
        <v>PRKWG2303M</v>
      </c>
      <c r="I280" s="2" t="str">
        <f t="shared" si="328"/>
        <v>(99)MIX99</v>
      </c>
      <c r="J280" s="2" t="str">
        <f>"160"</f>
        <v>160</v>
      </c>
      <c r="K280" s="2" t="str">
        <f>"PRKWG2303M99160"</f>
        <v>PRKWG2303M99160</v>
      </c>
      <c r="L280" s="2" t="str">
        <f t="shared" si="297"/>
        <v>899</v>
      </c>
      <c r="M280" s="1">
        <v>4</v>
      </c>
      <c r="N280" s="1">
        <v>3596</v>
      </c>
      <c r="O280" s="1">
        <v>4</v>
      </c>
      <c r="P280" s="1">
        <v>3596</v>
      </c>
      <c r="Q280" s="1">
        <v>0</v>
      </c>
      <c r="R280" s="1">
        <v>0</v>
      </c>
      <c r="S280" s="1">
        <v>0</v>
      </c>
      <c r="T280" s="1">
        <v>0</v>
      </c>
      <c r="U280" s="1">
        <v>4</v>
      </c>
      <c r="V280" s="1">
        <v>3596</v>
      </c>
    </row>
    <row r="281" spans="1:22" x14ac:dyDescent="0.15">
      <c r="A281" s="2" t="str">
        <f t="shared" si="335"/>
        <v>CJQ9</v>
      </c>
      <c r="B281" s="2" t="str">
        <f t="shared" si="336"/>
        <v>北京支社</v>
      </c>
      <c r="C281" s="2" t="str">
        <f t="shared" si="337"/>
        <v>PR 北京石景山万达百货(CJQ9)</v>
      </c>
      <c r="D281" s="2" t="str">
        <f t="shared" si="293"/>
        <v>2026</v>
      </c>
      <c r="E281" s="2" t="str">
        <f t="shared" si="294"/>
        <v>夏</v>
      </c>
      <c r="F281" s="2" t="str">
        <f t="shared" si="295"/>
        <v>一般毛衣(SWEATER)(KW)</v>
      </c>
      <c r="H281" s="2" t="str">
        <f t="shared" si="296"/>
        <v>PRKWG2303M</v>
      </c>
      <c r="I281" s="2" t="str">
        <f t="shared" si="328"/>
        <v>(99)MIX99</v>
      </c>
      <c r="J281" s="2" t="str">
        <f>"165"</f>
        <v>165</v>
      </c>
      <c r="K281" s="2" t="str">
        <f>"PRKWG2303M99165"</f>
        <v>PRKWG2303M99165</v>
      </c>
      <c r="L281" s="2" t="str">
        <f t="shared" si="297"/>
        <v>899</v>
      </c>
      <c r="M281" s="1">
        <v>2</v>
      </c>
      <c r="N281" s="1">
        <v>1798</v>
      </c>
      <c r="O281" s="1">
        <v>2</v>
      </c>
      <c r="P281" s="1">
        <v>1798</v>
      </c>
      <c r="Q281" s="1">
        <v>0</v>
      </c>
      <c r="R281" s="1">
        <v>0</v>
      </c>
      <c r="S281" s="1">
        <v>0</v>
      </c>
      <c r="T281" s="1">
        <v>0</v>
      </c>
      <c r="U281" s="1">
        <v>2</v>
      </c>
      <c r="V281" s="1">
        <v>1798</v>
      </c>
    </row>
    <row r="282" spans="1:22" x14ac:dyDescent="0.15">
      <c r="A282" s="2" t="str">
        <f t="shared" si="335"/>
        <v>CJQ9</v>
      </c>
      <c r="B282" s="2" t="str">
        <f t="shared" si="336"/>
        <v>北京支社</v>
      </c>
      <c r="C282" s="2" t="str">
        <f t="shared" si="337"/>
        <v>PR 北京石景山万达百货(CJQ9)</v>
      </c>
      <c r="D282" s="2" t="str">
        <f t="shared" si="293"/>
        <v>2026</v>
      </c>
      <c r="E282" s="2" t="str">
        <f t="shared" si="294"/>
        <v>夏</v>
      </c>
      <c r="F282" s="2" t="str">
        <f t="shared" si="295"/>
        <v>一般毛衣(SWEATER)(KW)</v>
      </c>
      <c r="H282" s="2" t="str">
        <f t="shared" si="296"/>
        <v>PRKWG2303M</v>
      </c>
      <c r="I282" s="2" t="str">
        <f t="shared" si="328"/>
        <v>(99)MIX99</v>
      </c>
      <c r="J282" s="2" t="str">
        <f>"170"</f>
        <v>170</v>
      </c>
      <c r="K282" s="2" t="str">
        <f>"PRKWG2303M99170"</f>
        <v>PRKWG2303M99170</v>
      </c>
      <c r="L282" s="2" t="str">
        <f t="shared" si="297"/>
        <v>899</v>
      </c>
      <c r="M282" s="1">
        <v>1</v>
      </c>
      <c r="N282" s="1">
        <v>899</v>
      </c>
      <c r="O282" s="1">
        <v>1</v>
      </c>
      <c r="P282" s="1">
        <v>899</v>
      </c>
      <c r="Q282" s="1">
        <v>0</v>
      </c>
      <c r="R282" s="1">
        <v>0</v>
      </c>
      <c r="S282" s="1">
        <v>0</v>
      </c>
      <c r="T282" s="1">
        <v>0</v>
      </c>
      <c r="U282" s="1">
        <v>1</v>
      </c>
      <c r="V282" s="1">
        <v>899</v>
      </c>
    </row>
    <row r="283" spans="1:22" x14ac:dyDescent="0.15">
      <c r="A283" s="2" t="str">
        <f t="shared" ref="A283:A285" si="338">"CJWY"</f>
        <v>CJWY</v>
      </c>
      <c r="B283" s="2" t="str">
        <f t="shared" ref="B283:B285" si="339">"华南支社"</f>
        <v>华南支社</v>
      </c>
      <c r="C283" s="2" t="str">
        <f t="shared" ref="C283:C285" si="340">"PR 南宁梦之岛民族店(CJWY)"</f>
        <v>PR 南宁梦之岛民族店(CJWY)</v>
      </c>
      <c r="D283" s="2" t="str">
        <f t="shared" si="293"/>
        <v>2026</v>
      </c>
      <c r="E283" s="2" t="str">
        <f t="shared" si="294"/>
        <v>夏</v>
      </c>
      <c r="F283" s="2" t="str">
        <f t="shared" si="295"/>
        <v>一般毛衣(SWEATER)(KW)</v>
      </c>
      <c r="H283" s="2" t="str">
        <f t="shared" si="296"/>
        <v>PRKWG2303M</v>
      </c>
      <c r="I283" s="2" t="str">
        <f t="shared" si="328"/>
        <v>(99)MIX99</v>
      </c>
      <c r="J283" s="2" t="str">
        <f t="shared" ref="J283:J286" si="341">"160"</f>
        <v>160</v>
      </c>
      <c r="K283" s="2" t="str">
        <f>"PRKWG2303M99160"</f>
        <v>PRKWG2303M99160</v>
      </c>
      <c r="L283" s="2" t="str">
        <f t="shared" si="297"/>
        <v>899</v>
      </c>
      <c r="M283" s="1">
        <v>4</v>
      </c>
      <c r="N283" s="1">
        <v>3596</v>
      </c>
      <c r="O283" s="1">
        <v>4</v>
      </c>
      <c r="P283" s="1">
        <v>3596</v>
      </c>
      <c r="Q283" s="1">
        <v>0</v>
      </c>
      <c r="R283" s="1">
        <v>0</v>
      </c>
      <c r="S283" s="1">
        <v>0</v>
      </c>
      <c r="T283" s="1">
        <v>0</v>
      </c>
      <c r="U283" s="1">
        <v>4</v>
      </c>
      <c r="V283" s="1">
        <v>3596</v>
      </c>
    </row>
    <row r="284" spans="1:22" x14ac:dyDescent="0.15">
      <c r="A284" s="2" t="str">
        <f t="shared" si="338"/>
        <v>CJWY</v>
      </c>
      <c r="B284" s="2" t="str">
        <f t="shared" si="339"/>
        <v>华南支社</v>
      </c>
      <c r="C284" s="2" t="str">
        <f t="shared" si="340"/>
        <v>PR 南宁梦之岛民族店(CJWY)</v>
      </c>
      <c r="D284" s="2" t="str">
        <f t="shared" si="293"/>
        <v>2026</v>
      </c>
      <c r="E284" s="2" t="str">
        <f t="shared" si="294"/>
        <v>夏</v>
      </c>
      <c r="F284" s="2" t="str">
        <f t="shared" si="295"/>
        <v>一般毛衣(SWEATER)(KW)</v>
      </c>
      <c r="H284" s="2" t="str">
        <f t="shared" si="296"/>
        <v>PRKWG2303M</v>
      </c>
      <c r="I284" s="2" t="str">
        <f t="shared" si="328"/>
        <v>(99)MIX99</v>
      </c>
      <c r="J284" s="2" t="str">
        <f t="shared" ref="J284:J287" si="342">"165"</f>
        <v>165</v>
      </c>
      <c r="K284" s="2" t="str">
        <f>"PRKWG2303M99165"</f>
        <v>PRKWG2303M99165</v>
      </c>
      <c r="L284" s="2" t="str">
        <f t="shared" si="297"/>
        <v>899</v>
      </c>
      <c r="M284" s="1">
        <v>2</v>
      </c>
      <c r="N284" s="1">
        <v>1798</v>
      </c>
      <c r="O284" s="1">
        <v>2</v>
      </c>
      <c r="P284" s="1">
        <v>1798</v>
      </c>
      <c r="Q284" s="1">
        <v>0</v>
      </c>
      <c r="R284" s="1">
        <v>0</v>
      </c>
      <c r="S284" s="1">
        <v>0</v>
      </c>
      <c r="T284" s="1">
        <v>0</v>
      </c>
      <c r="U284" s="1">
        <v>2</v>
      </c>
      <c r="V284" s="1">
        <v>1798</v>
      </c>
    </row>
    <row r="285" spans="1:22" x14ac:dyDescent="0.15">
      <c r="A285" s="2" t="str">
        <f t="shared" si="338"/>
        <v>CJWY</v>
      </c>
      <c r="B285" s="2" t="str">
        <f t="shared" si="339"/>
        <v>华南支社</v>
      </c>
      <c r="C285" s="2" t="str">
        <f t="shared" si="340"/>
        <v>PR 南宁梦之岛民族店(CJWY)</v>
      </c>
      <c r="D285" s="2" t="str">
        <f t="shared" si="293"/>
        <v>2026</v>
      </c>
      <c r="E285" s="2" t="str">
        <f t="shared" si="294"/>
        <v>夏</v>
      </c>
      <c r="F285" s="2" t="str">
        <f t="shared" si="295"/>
        <v>一般毛衣(SWEATER)(KW)</v>
      </c>
      <c r="H285" s="2" t="str">
        <f t="shared" si="296"/>
        <v>PRKWG2303M</v>
      </c>
      <c r="I285" s="2" t="str">
        <f t="shared" si="328"/>
        <v>(99)MIX99</v>
      </c>
      <c r="J285" s="2" t="str">
        <f>"170"</f>
        <v>170</v>
      </c>
      <c r="K285" s="2" t="str">
        <f>"PRKWG2303M99170"</f>
        <v>PRKWG2303M99170</v>
      </c>
      <c r="L285" s="2" t="str">
        <f t="shared" si="297"/>
        <v>899</v>
      </c>
      <c r="M285" s="1">
        <v>1</v>
      </c>
      <c r="N285" s="1">
        <v>899</v>
      </c>
      <c r="O285" s="1">
        <v>1</v>
      </c>
      <c r="P285" s="1">
        <v>899</v>
      </c>
      <c r="Q285" s="1">
        <v>0</v>
      </c>
      <c r="R285" s="1">
        <v>0</v>
      </c>
      <c r="S285" s="1">
        <v>0</v>
      </c>
      <c r="T285" s="1">
        <v>0</v>
      </c>
      <c r="U285" s="1">
        <v>1</v>
      </c>
      <c r="V285" s="1">
        <v>899</v>
      </c>
    </row>
    <row r="286" spans="1:22" x14ac:dyDescent="0.15">
      <c r="A286" s="2" t="str">
        <f t="shared" ref="A286:A287" si="343">"CJWZ"</f>
        <v>CJWZ</v>
      </c>
      <c r="B286" s="2" t="str">
        <f t="shared" ref="B286:B287" si="344">"西北支社"</f>
        <v>西北支社</v>
      </c>
      <c r="C286" s="2" t="str">
        <f t="shared" ref="C286:C287" si="345">"PR 汉中鼎鼎百货(CJWZ)"</f>
        <v>PR 汉中鼎鼎百货(CJWZ)</v>
      </c>
      <c r="D286" s="2" t="str">
        <f t="shared" si="293"/>
        <v>2026</v>
      </c>
      <c r="E286" s="2" t="str">
        <f t="shared" si="294"/>
        <v>夏</v>
      </c>
      <c r="F286" s="2" t="str">
        <f t="shared" si="295"/>
        <v>一般毛衣(SWEATER)(KW)</v>
      </c>
      <c r="H286" s="2" t="str">
        <f t="shared" si="296"/>
        <v>PRKWG2303M</v>
      </c>
      <c r="I286" s="2" t="str">
        <f t="shared" ref="I286:I289" si="346">"(99)MIX99"</f>
        <v>(99)MIX99</v>
      </c>
      <c r="J286" s="2" t="str">
        <f t="shared" si="341"/>
        <v>160</v>
      </c>
      <c r="K286" s="2" t="str">
        <f>"PRKWG2303M99160"</f>
        <v>PRKWG2303M99160</v>
      </c>
      <c r="L286" s="2" t="str">
        <f t="shared" si="297"/>
        <v>899</v>
      </c>
      <c r="M286" s="1">
        <v>3</v>
      </c>
      <c r="N286" s="1">
        <v>2697</v>
      </c>
      <c r="O286" s="1">
        <v>3</v>
      </c>
      <c r="P286" s="1">
        <v>2697</v>
      </c>
      <c r="Q286" s="1">
        <v>0</v>
      </c>
      <c r="R286" s="1">
        <v>0</v>
      </c>
      <c r="S286" s="1">
        <v>0</v>
      </c>
      <c r="T286" s="1">
        <v>0</v>
      </c>
      <c r="U286" s="1">
        <v>3</v>
      </c>
      <c r="V286" s="1">
        <v>2697</v>
      </c>
    </row>
    <row r="287" spans="1:22" x14ac:dyDescent="0.15">
      <c r="A287" s="2" t="str">
        <f t="shared" si="343"/>
        <v>CJWZ</v>
      </c>
      <c r="B287" s="2" t="str">
        <f t="shared" si="344"/>
        <v>西北支社</v>
      </c>
      <c r="C287" s="2" t="str">
        <f t="shared" si="345"/>
        <v>PR 汉中鼎鼎百货(CJWZ)</v>
      </c>
      <c r="D287" s="2" t="str">
        <f t="shared" si="293"/>
        <v>2026</v>
      </c>
      <c r="E287" s="2" t="str">
        <f t="shared" si="294"/>
        <v>夏</v>
      </c>
      <c r="F287" s="2" t="str">
        <f t="shared" si="295"/>
        <v>一般毛衣(SWEATER)(KW)</v>
      </c>
      <c r="H287" s="2" t="str">
        <f t="shared" si="296"/>
        <v>PRKWG2303M</v>
      </c>
      <c r="I287" s="2" t="str">
        <f t="shared" si="346"/>
        <v>(99)MIX99</v>
      </c>
      <c r="J287" s="2" t="str">
        <f t="shared" si="342"/>
        <v>165</v>
      </c>
      <c r="K287" s="2" t="str">
        <f>"PRKWG2303M99165"</f>
        <v>PRKWG2303M99165</v>
      </c>
      <c r="L287" s="2" t="str">
        <f t="shared" si="297"/>
        <v>899</v>
      </c>
      <c r="M287" s="1">
        <v>1</v>
      </c>
      <c r="N287" s="1">
        <v>899</v>
      </c>
      <c r="O287" s="1">
        <v>1</v>
      </c>
      <c r="P287" s="1">
        <v>899</v>
      </c>
      <c r="Q287" s="1">
        <v>0</v>
      </c>
      <c r="R287" s="1">
        <v>0</v>
      </c>
      <c r="S287" s="1">
        <v>0</v>
      </c>
      <c r="T287" s="1">
        <v>0</v>
      </c>
      <c r="U287" s="1">
        <v>1</v>
      </c>
      <c r="V287" s="1">
        <v>899</v>
      </c>
    </row>
    <row r="288" spans="1:22" x14ac:dyDescent="0.15">
      <c r="A288" s="2" t="str">
        <f>"CK23"</f>
        <v>CK23</v>
      </c>
      <c r="B288" s="2" t="str">
        <f>"华南支社"</f>
        <v>华南支社</v>
      </c>
      <c r="C288" s="2" t="str">
        <f>"PR 南宁百货大楼(CK23)"</f>
        <v>PR 南宁百货大楼(CK23)</v>
      </c>
      <c r="D288" s="2" t="str">
        <f t="shared" si="293"/>
        <v>2026</v>
      </c>
      <c r="E288" s="2" t="str">
        <f t="shared" si="294"/>
        <v>夏</v>
      </c>
      <c r="F288" s="2" t="str">
        <f t="shared" si="295"/>
        <v>一般毛衣(SWEATER)(KW)</v>
      </c>
      <c r="H288" s="2" t="str">
        <f t="shared" si="296"/>
        <v>PRKWG2303M</v>
      </c>
      <c r="I288" s="2" t="str">
        <f t="shared" si="346"/>
        <v>(99)MIX99</v>
      </c>
      <c r="J288" s="2" t="str">
        <f t="shared" ref="J288:J290" si="347">"160"</f>
        <v>160</v>
      </c>
      <c r="K288" s="2" t="str">
        <f>"PRKWG2303M99160"</f>
        <v>PRKWG2303M99160</v>
      </c>
      <c r="L288" s="2" t="str">
        <f t="shared" si="297"/>
        <v>899</v>
      </c>
      <c r="M288" s="1">
        <v>1</v>
      </c>
      <c r="N288" s="1">
        <v>899</v>
      </c>
      <c r="O288" s="1">
        <v>1</v>
      </c>
      <c r="P288" s="1">
        <v>899</v>
      </c>
      <c r="Q288" s="1">
        <v>0</v>
      </c>
      <c r="R288" s="1">
        <v>0</v>
      </c>
      <c r="S288" s="1">
        <v>0</v>
      </c>
      <c r="T288" s="1">
        <v>0</v>
      </c>
      <c r="U288" s="1">
        <v>1</v>
      </c>
      <c r="V288" s="1">
        <v>899</v>
      </c>
    </row>
    <row r="289" spans="1:22" x14ac:dyDescent="0.15">
      <c r="A289" s="2" t="str">
        <f>"CK23"</f>
        <v>CK23</v>
      </c>
      <c r="B289" s="2" t="str">
        <f>"华南支社"</f>
        <v>华南支社</v>
      </c>
      <c r="C289" s="2" t="str">
        <f>"PR 南宁百货大楼(CK23)"</f>
        <v>PR 南宁百货大楼(CK23)</v>
      </c>
      <c r="D289" s="2" t="str">
        <f t="shared" si="293"/>
        <v>2026</v>
      </c>
      <c r="E289" s="2" t="str">
        <f t="shared" si="294"/>
        <v>夏</v>
      </c>
      <c r="F289" s="2" t="str">
        <f t="shared" si="295"/>
        <v>一般毛衣(SWEATER)(KW)</v>
      </c>
      <c r="H289" s="2" t="str">
        <f t="shared" si="296"/>
        <v>PRKWG2303M</v>
      </c>
      <c r="I289" s="2" t="str">
        <f t="shared" si="346"/>
        <v>(99)MIX99</v>
      </c>
      <c r="J289" s="2" t="str">
        <f>"170"</f>
        <v>170</v>
      </c>
      <c r="K289" s="2" t="str">
        <f>"PRKWG2303M99170"</f>
        <v>PRKWG2303M99170</v>
      </c>
      <c r="L289" s="2" t="str">
        <f t="shared" si="297"/>
        <v>899</v>
      </c>
      <c r="M289" s="1">
        <v>1</v>
      </c>
      <c r="N289" s="1">
        <v>899</v>
      </c>
      <c r="O289" s="1">
        <v>1</v>
      </c>
      <c r="P289" s="1">
        <v>899</v>
      </c>
      <c r="Q289" s="1">
        <v>0</v>
      </c>
      <c r="R289" s="1">
        <v>0</v>
      </c>
      <c r="S289" s="1">
        <v>0</v>
      </c>
      <c r="T289" s="1">
        <v>0</v>
      </c>
      <c r="U289" s="1">
        <v>1</v>
      </c>
      <c r="V289" s="1">
        <v>899</v>
      </c>
    </row>
    <row r="290" spans="1:22" x14ac:dyDescent="0.15">
      <c r="A290" s="2" t="str">
        <f t="shared" ref="A290:A291" si="348">"CKDV"</f>
        <v>CKDV</v>
      </c>
      <c r="B290" s="2" t="str">
        <f t="shared" ref="B290:B293" si="349">"华东支社"</f>
        <v>华东支社</v>
      </c>
      <c r="C290" s="2" t="str">
        <f t="shared" ref="C290:C291" si="350">"PR 南京汤山百联(CKDV)"</f>
        <v>PR 南京汤山百联(CKDV)</v>
      </c>
      <c r="D290" s="2" t="str">
        <f t="shared" si="293"/>
        <v>2026</v>
      </c>
      <c r="E290" s="2" t="str">
        <f t="shared" si="294"/>
        <v>夏</v>
      </c>
      <c r="F290" s="2" t="str">
        <f t="shared" si="295"/>
        <v>一般毛衣(SWEATER)(KW)</v>
      </c>
      <c r="H290" s="2" t="str">
        <f t="shared" si="296"/>
        <v>PRKWG2303M</v>
      </c>
      <c r="I290" s="2" t="str">
        <f t="shared" ref="I290:I295" si="351">"(99)MIX99"</f>
        <v>(99)MIX99</v>
      </c>
      <c r="J290" s="2" t="str">
        <f t="shared" si="347"/>
        <v>160</v>
      </c>
      <c r="K290" s="2" t="str">
        <f t="shared" ref="K290:K294" si="352">"PRKWG2303M99160"</f>
        <v>PRKWG2303M99160</v>
      </c>
      <c r="L290" s="2" t="str">
        <f t="shared" si="297"/>
        <v>899</v>
      </c>
      <c r="M290" s="1">
        <v>2</v>
      </c>
      <c r="N290" s="1">
        <v>1798</v>
      </c>
      <c r="O290" s="1">
        <v>2</v>
      </c>
      <c r="P290" s="1">
        <v>1798</v>
      </c>
      <c r="Q290" s="1">
        <v>0</v>
      </c>
      <c r="R290" s="1">
        <v>0</v>
      </c>
      <c r="S290" s="1">
        <v>0</v>
      </c>
      <c r="T290" s="1">
        <v>0</v>
      </c>
      <c r="U290" s="1">
        <v>2</v>
      </c>
      <c r="V290" s="1">
        <v>1798</v>
      </c>
    </row>
    <row r="291" spans="1:22" x14ac:dyDescent="0.15">
      <c r="A291" s="2" t="str">
        <f t="shared" si="348"/>
        <v>CKDV</v>
      </c>
      <c r="B291" s="2" t="str">
        <f t="shared" si="349"/>
        <v>华东支社</v>
      </c>
      <c r="C291" s="2" t="str">
        <f t="shared" si="350"/>
        <v>PR 南京汤山百联(CKDV)</v>
      </c>
      <c r="D291" s="2" t="str">
        <f t="shared" si="293"/>
        <v>2026</v>
      </c>
      <c r="E291" s="2" t="str">
        <f t="shared" si="294"/>
        <v>夏</v>
      </c>
      <c r="F291" s="2" t="str">
        <f t="shared" si="295"/>
        <v>一般毛衣(SWEATER)(KW)</v>
      </c>
      <c r="H291" s="2" t="str">
        <f t="shared" si="296"/>
        <v>PRKWG2303M</v>
      </c>
      <c r="I291" s="2" t="str">
        <f t="shared" si="351"/>
        <v>(99)MIX99</v>
      </c>
      <c r="J291" s="2" t="str">
        <f t="shared" ref="J291:J293" si="353">"165"</f>
        <v>165</v>
      </c>
      <c r="K291" s="2" t="str">
        <f t="shared" ref="K291:K295" si="354">"PRKWG2303M99165"</f>
        <v>PRKWG2303M99165</v>
      </c>
      <c r="L291" s="2" t="str">
        <f t="shared" si="297"/>
        <v>899</v>
      </c>
      <c r="M291" s="1">
        <v>3</v>
      </c>
      <c r="N291" s="1">
        <v>2697</v>
      </c>
      <c r="O291" s="1">
        <v>3</v>
      </c>
      <c r="P291" s="1">
        <v>2697</v>
      </c>
      <c r="Q291" s="1">
        <v>0</v>
      </c>
      <c r="R291" s="1">
        <v>0</v>
      </c>
      <c r="S291" s="1">
        <v>0</v>
      </c>
      <c r="T291" s="1">
        <v>0</v>
      </c>
      <c r="U291" s="1">
        <v>3</v>
      </c>
      <c r="V291" s="1">
        <v>2697</v>
      </c>
    </row>
    <row r="292" spans="1:22" x14ac:dyDescent="0.15">
      <c r="A292" s="2" t="str">
        <f>"CKE6"</f>
        <v>CKE6</v>
      </c>
      <c r="B292" s="2" t="str">
        <f t="shared" si="349"/>
        <v>华东支社</v>
      </c>
      <c r="C292" s="2" t="str">
        <f>"PR 扬州砂之船(CKE6)"</f>
        <v>PR 扬州砂之船(CKE6)</v>
      </c>
      <c r="D292" s="2" t="str">
        <f t="shared" si="293"/>
        <v>2026</v>
      </c>
      <c r="E292" s="2" t="str">
        <f t="shared" si="294"/>
        <v>夏</v>
      </c>
      <c r="F292" s="2" t="str">
        <f t="shared" si="295"/>
        <v>一般毛衣(SWEATER)(KW)</v>
      </c>
      <c r="H292" s="2" t="str">
        <f t="shared" si="296"/>
        <v>PRKWG2303M</v>
      </c>
      <c r="I292" s="2" t="str">
        <f t="shared" si="351"/>
        <v>(99)MIX99</v>
      </c>
      <c r="J292" s="2" t="str">
        <f t="shared" ref="J292:J294" si="355">"160"</f>
        <v>160</v>
      </c>
      <c r="K292" s="2" t="str">
        <f t="shared" si="352"/>
        <v>PRKWG2303M99160</v>
      </c>
      <c r="L292" s="2" t="str">
        <f t="shared" si="297"/>
        <v>899</v>
      </c>
      <c r="M292" s="1">
        <v>2</v>
      </c>
      <c r="N292" s="1">
        <v>1798</v>
      </c>
      <c r="O292" s="1">
        <v>2</v>
      </c>
      <c r="P292" s="1">
        <v>1798</v>
      </c>
      <c r="Q292" s="1">
        <v>0</v>
      </c>
      <c r="R292" s="1">
        <v>0</v>
      </c>
      <c r="S292" s="1">
        <v>0</v>
      </c>
      <c r="T292" s="1">
        <v>0</v>
      </c>
      <c r="U292" s="1">
        <v>2</v>
      </c>
      <c r="V292" s="1">
        <v>1798</v>
      </c>
    </row>
    <row r="293" spans="1:22" x14ac:dyDescent="0.15">
      <c r="A293" s="2" t="str">
        <f>"CKE6"</f>
        <v>CKE6</v>
      </c>
      <c r="B293" s="2" t="str">
        <f t="shared" si="349"/>
        <v>华东支社</v>
      </c>
      <c r="C293" s="2" t="str">
        <f>"PR 扬州砂之船(CKE6)"</f>
        <v>PR 扬州砂之船(CKE6)</v>
      </c>
      <c r="D293" s="2" t="str">
        <f t="shared" si="293"/>
        <v>2026</v>
      </c>
      <c r="E293" s="2" t="str">
        <f t="shared" si="294"/>
        <v>夏</v>
      </c>
      <c r="F293" s="2" t="str">
        <f t="shared" si="295"/>
        <v>一般毛衣(SWEATER)(KW)</v>
      </c>
      <c r="H293" s="2" t="str">
        <f t="shared" si="296"/>
        <v>PRKWG2303M</v>
      </c>
      <c r="I293" s="2" t="str">
        <f t="shared" si="351"/>
        <v>(99)MIX99</v>
      </c>
      <c r="J293" s="2" t="str">
        <f t="shared" si="353"/>
        <v>165</v>
      </c>
      <c r="K293" s="2" t="str">
        <f t="shared" si="354"/>
        <v>PRKWG2303M99165</v>
      </c>
      <c r="L293" s="2" t="str">
        <f t="shared" si="297"/>
        <v>899</v>
      </c>
      <c r="M293" s="1">
        <v>2</v>
      </c>
      <c r="N293" s="1">
        <v>1798</v>
      </c>
      <c r="O293" s="1">
        <v>2</v>
      </c>
      <c r="P293" s="1">
        <v>1798</v>
      </c>
      <c r="Q293" s="1">
        <v>0</v>
      </c>
      <c r="R293" s="1">
        <v>0</v>
      </c>
      <c r="S293" s="1">
        <v>0</v>
      </c>
      <c r="T293" s="1">
        <v>0</v>
      </c>
      <c r="U293" s="1">
        <v>2</v>
      </c>
      <c r="V293" s="1">
        <v>1798</v>
      </c>
    </row>
    <row r="294" spans="1:22" x14ac:dyDescent="0.15">
      <c r="A294" s="2" t="str">
        <f>"CKFE"</f>
        <v>CKFE</v>
      </c>
      <c r="B294" s="2" t="str">
        <f>"上海支社"</f>
        <v>上海支社</v>
      </c>
      <c r="C294" s="2" t="str">
        <f>"PR 上海又一城(CKFE)"</f>
        <v>PR 上海又一城(CKFE)</v>
      </c>
      <c r="D294" s="2" t="str">
        <f t="shared" si="293"/>
        <v>2026</v>
      </c>
      <c r="E294" s="2" t="str">
        <f t="shared" si="294"/>
        <v>夏</v>
      </c>
      <c r="F294" s="2" t="str">
        <f t="shared" si="295"/>
        <v>一般毛衣(SWEATER)(KW)</v>
      </c>
      <c r="H294" s="2" t="str">
        <f t="shared" si="296"/>
        <v>PRKWG2303M</v>
      </c>
      <c r="I294" s="2" t="str">
        <f t="shared" si="351"/>
        <v>(99)MIX99</v>
      </c>
      <c r="J294" s="2" t="str">
        <f t="shared" si="355"/>
        <v>160</v>
      </c>
      <c r="K294" s="2" t="str">
        <f t="shared" si="352"/>
        <v>PRKWG2303M99160</v>
      </c>
      <c r="L294" s="2" t="str">
        <f t="shared" si="297"/>
        <v>899</v>
      </c>
      <c r="M294" s="1">
        <v>1</v>
      </c>
      <c r="N294" s="1">
        <v>899</v>
      </c>
      <c r="O294" s="1">
        <v>1</v>
      </c>
      <c r="P294" s="1">
        <v>899</v>
      </c>
      <c r="Q294" s="1">
        <v>0</v>
      </c>
      <c r="R294" s="1">
        <v>0</v>
      </c>
      <c r="S294" s="1">
        <v>0</v>
      </c>
      <c r="T294" s="1">
        <v>0</v>
      </c>
      <c r="U294" s="1">
        <v>1</v>
      </c>
      <c r="V294" s="1">
        <v>899</v>
      </c>
    </row>
    <row r="295" spans="1:22" x14ac:dyDescent="0.15">
      <c r="A295" s="2" t="str">
        <f>"CKFE"</f>
        <v>CKFE</v>
      </c>
      <c r="B295" s="2" t="str">
        <f>"上海支社"</f>
        <v>上海支社</v>
      </c>
      <c r="C295" s="2" t="str">
        <f>"PR 上海又一城(CKFE)"</f>
        <v>PR 上海又一城(CKFE)</v>
      </c>
      <c r="D295" s="2" t="str">
        <f t="shared" si="293"/>
        <v>2026</v>
      </c>
      <c r="E295" s="2" t="str">
        <f t="shared" si="294"/>
        <v>夏</v>
      </c>
      <c r="F295" s="2" t="str">
        <f t="shared" si="295"/>
        <v>一般毛衣(SWEATER)(KW)</v>
      </c>
      <c r="H295" s="2" t="str">
        <f t="shared" si="296"/>
        <v>PRKWG2303M</v>
      </c>
      <c r="I295" s="2" t="str">
        <f t="shared" si="351"/>
        <v>(99)MIX99</v>
      </c>
      <c r="J295" s="2" t="str">
        <f t="shared" ref="J295:J298" si="356">"165"</f>
        <v>165</v>
      </c>
      <c r="K295" s="2" t="str">
        <f t="shared" si="354"/>
        <v>PRKWG2303M99165</v>
      </c>
      <c r="L295" s="2" t="str">
        <f t="shared" si="297"/>
        <v>899</v>
      </c>
      <c r="M295" s="1">
        <v>1</v>
      </c>
      <c r="N295" s="1">
        <v>899</v>
      </c>
      <c r="O295" s="1">
        <v>1</v>
      </c>
      <c r="P295" s="1">
        <v>899</v>
      </c>
      <c r="Q295" s="1">
        <v>0</v>
      </c>
      <c r="R295" s="1">
        <v>0</v>
      </c>
      <c r="S295" s="1">
        <v>0</v>
      </c>
      <c r="T295" s="1">
        <v>0</v>
      </c>
      <c r="U295" s="1">
        <v>1</v>
      </c>
      <c r="V295" s="1">
        <v>899</v>
      </c>
    </row>
    <row r="296" spans="1:22" x14ac:dyDescent="0.15">
      <c r="A296" s="2" t="str">
        <f t="shared" ref="A296:A299" si="357">"CKFF"</f>
        <v>CKFF</v>
      </c>
      <c r="B296" s="2" t="str">
        <f t="shared" ref="B296:B299" si="358">"河南支社"</f>
        <v>河南支社</v>
      </c>
      <c r="C296" s="2" t="str">
        <f t="shared" ref="C296:C299" si="359">"PR 郑州丹尼斯大卫城(CKFF)"</f>
        <v>PR 郑州丹尼斯大卫城(CKFF)</v>
      </c>
      <c r="D296" s="2" t="str">
        <f t="shared" si="293"/>
        <v>2026</v>
      </c>
      <c r="E296" s="2" t="str">
        <f t="shared" si="294"/>
        <v>夏</v>
      </c>
      <c r="F296" s="2" t="str">
        <f t="shared" si="295"/>
        <v>一般毛衣(SWEATER)(KW)</v>
      </c>
      <c r="H296" s="2" t="str">
        <f t="shared" si="296"/>
        <v>PRKWG2303M</v>
      </c>
      <c r="I296" s="2" t="str">
        <f t="shared" ref="I296:I299" si="360">"(99)MIX99"</f>
        <v>(99)MIX99</v>
      </c>
      <c r="J296" s="2" t="str">
        <f>"155"</f>
        <v>155</v>
      </c>
      <c r="K296" s="2" t="str">
        <f>"PRKWG2303M99155"</f>
        <v>PRKWG2303M99155</v>
      </c>
      <c r="L296" s="2" t="str">
        <f t="shared" si="297"/>
        <v>899</v>
      </c>
      <c r="M296" s="1">
        <v>1</v>
      </c>
      <c r="N296" s="1">
        <v>899</v>
      </c>
      <c r="O296" s="1">
        <v>1</v>
      </c>
      <c r="P296" s="1">
        <v>899</v>
      </c>
      <c r="Q296" s="1">
        <v>0</v>
      </c>
      <c r="R296" s="1">
        <v>0</v>
      </c>
      <c r="S296" s="1">
        <v>0</v>
      </c>
      <c r="T296" s="1">
        <v>0</v>
      </c>
      <c r="U296" s="1">
        <v>1</v>
      </c>
      <c r="V296" s="1">
        <v>899</v>
      </c>
    </row>
    <row r="297" spans="1:22" x14ac:dyDescent="0.15">
      <c r="A297" s="2" t="str">
        <f t="shared" si="357"/>
        <v>CKFF</v>
      </c>
      <c r="B297" s="2" t="str">
        <f t="shared" si="358"/>
        <v>河南支社</v>
      </c>
      <c r="C297" s="2" t="str">
        <f t="shared" si="359"/>
        <v>PR 郑州丹尼斯大卫城(CKFF)</v>
      </c>
      <c r="D297" s="2" t="str">
        <f t="shared" si="293"/>
        <v>2026</v>
      </c>
      <c r="E297" s="2" t="str">
        <f t="shared" si="294"/>
        <v>夏</v>
      </c>
      <c r="F297" s="2" t="str">
        <f t="shared" si="295"/>
        <v>一般毛衣(SWEATER)(KW)</v>
      </c>
      <c r="H297" s="2" t="str">
        <f t="shared" si="296"/>
        <v>PRKWG2303M</v>
      </c>
      <c r="I297" s="2" t="str">
        <f t="shared" si="360"/>
        <v>(99)MIX99</v>
      </c>
      <c r="J297" s="2" t="str">
        <f>"160"</f>
        <v>160</v>
      </c>
      <c r="K297" s="2" t="str">
        <f>"PRKWG2303M99160"</f>
        <v>PRKWG2303M99160</v>
      </c>
      <c r="L297" s="2" t="str">
        <f t="shared" si="297"/>
        <v>899</v>
      </c>
      <c r="M297" s="1">
        <v>2</v>
      </c>
      <c r="N297" s="1">
        <v>1798</v>
      </c>
      <c r="O297" s="1">
        <v>2</v>
      </c>
      <c r="P297" s="1">
        <v>1798</v>
      </c>
      <c r="Q297" s="1">
        <v>0</v>
      </c>
      <c r="R297" s="1">
        <v>0</v>
      </c>
      <c r="S297" s="1">
        <v>0</v>
      </c>
      <c r="T297" s="1">
        <v>0</v>
      </c>
      <c r="U297" s="1">
        <v>2</v>
      </c>
      <c r="V297" s="1">
        <v>1798</v>
      </c>
    </row>
    <row r="298" spans="1:22" x14ac:dyDescent="0.15">
      <c r="A298" s="2" t="str">
        <f t="shared" si="357"/>
        <v>CKFF</v>
      </c>
      <c r="B298" s="2" t="str">
        <f t="shared" si="358"/>
        <v>河南支社</v>
      </c>
      <c r="C298" s="2" t="str">
        <f t="shared" si="359"/>
        <v>PR 郑州丹尼斯大卫城(CKFF)</v>
      </c>
      <c r="D298" s="2" t="str">
        <f t="shared" si="293"/>
        <v>2026</v>
      </c>
      <c r="E298" s="2" t="str">
        <f t="shared" si="294"/>
        <v>夏</v>
      </c>
      <c r="F298" s="2" t="str">
        <f t="shared" si="295"/>
        <v>一般毛衣(SWEATER)(KW)</v>
      </c>
      <c r="H298" s="2" t="str">
        <f t="shared" si="296"/>
        <v>PRKWG2303M</v>
      </c>
      <c r="I298" s="2" t="str">
        <f t="shared" si="360"/>
        <v>(99)MIX99</v>
      </c>
      <c r="J298" s="2" t="str">
        <f t="shared" si="356"/>
        <v>165</v>
      </c>
      <c r="K298" s="2" t="str">
        <f>"PRKWG2303M99165"</f>
        <v>PRKWG2303M99165</v>
      </c>
      <c r="L298" s="2" t="str">
        <f t="shared" si="297"/>
        <v>899</v>
      </c>
      <c r="M298" s="1">
        <v>1</v>
      </c>
      <c r="N298" s="1">
        <v>899</v>
      </c>
      <c r="O298" s="1">
        <v>1</v>
      </c>
      <c r="P298" s="1">
        <v>899</v>
      </c>
      <c r="Q298" s="1">
        <v>0</v>
      </c>
      <c r="R298" s="1">
        <v>0</v>
      </c>
      <c r="S298" s="1">
        <v>0</v>
      </c>
      <c r="T298" s="1">
        <v>0</v>
      </c>
      <c r="U298" s="1">
        <v>1</v>
      </c>
      <c r="V298" s="1">
        <v>899</v>
      </c>
    </row>
    <row r="299" spans="1:22" x14ac:dyDescent="0.15">
      <c r="A299" s="2" t="str">
        <f t="shared" si="357"/>
        <v>CKFF</v>
      </c>
      <c r="B299" s="2" t="str">
        <f t="shared" si="358"/>
        <v>河南支社</v>
      </c>
      <c r="C299" s="2" t="str">
        <f t="shared" si="359"/>
        <v>PR 郑州丹尼斯大卫城(CKFF)</v>
      </c>
      <c r="D299" s="2" t="str">
        <f t="shared" ref="D299:D348" si="361">"2026"</f>
        <v>2026</v>
      </c>
      <c r="E299" s="2" t="str">
        <f t="shared" ref="E299:E348" si="362">"夏"</f>
        <v>夏</v>
      </c>
      <c r="F299" s="2" t="str">
        <f t="shared" ref="F299:F348" si="363">"一般毛衣(SWEATER)(KW)"</f>
        <v>一般毛衣(SWEATER)(KW)</v>
      </c>
      <c r="H299" s="2" t="str">
        <f t="shared" ref="H299:H348" si="364">"PRKWG2303M"</f>
        <v>PRKWG2303M</v>
      </c>
      <c r="I299" s="2" t="str">
        <f t="shared" si="360"/>
        <v>(99)MIX99</v>
      </c>
      <c r="J299" s="2" t="str">
        <f>"170"</f>
        <v>170</v>
      </c>
      <c r="K299" s="2" t="str">
        <f>"PRKWG2303M99170"</f>
        <v>PRKWG2303M99170</v>
      </c>
      <c r="L299" s="2" t="str">
        <f t="shared" ref="L299:L348" si="365">"899"</f>
        <v>899</v>
      </c>
      <c r="M299" s="1">
        <v>1</v>
      </c>
      <c r="N299" s="1">
        <v>899</v>
      </c>
      <c r="O299" s="1">
        <v>1</v>
      </c>
      <c r="P299" s="1">
        <v>899</v>
      </c>
      <c r="Q299" s="1">
        <v>0</v>
      </c>
      <c r="R299" s="1">
        <v>0</v>
      </c>
      <c r="S299" s="1">
        <v>0</v>
      </c>
      <c r="T299" s="1">
        <v>0</v>
      </c>
      <c r="U299" s="1">
        <v>1</v>
      </c>
      <c r="V299" s="1">
        <v>899</v>
      </c>
    </row>
    <row r="300" spans="1:22" x14ac:dyDescent="0.15">
      <c r="A300" s="2" t="str">
        <f t="shared" ref="A300:A302" si="366">"CKGQ"</f>
        <v>CKGQ</v>
      </c>
      <c r="B300" s="2" t="str">
        <f t="shared" ref="B300:B302" si="367">"西北支社"</f>
        <v>西北支社</v>
      </c>
      <c r="C300" s="2" t="str">
        <f t="shared" ref="C300:C302" si="368">"PR 兰州百盛(CKGQ)"</f>
        <v>PR 兰州百盛(CKGQ)</v>
      </c>
      <c r="D300" s="2" t="str">
        <f t="shared" si="361"/>
        <v>2026</v>
      </c>
      <c r="E300" s="2" t="str">
        <f t="shared" si="362"/>
        <v>夏</v>
      </c>
      <c r="F300" s="2" t="str">
        <f t="shared" si="363"/>
        <v>一般毛衣(SWEATER)(KW)</v>
      </c>
      <c r="H300" s="2" t="str">
        <f t="shared" si="364"/>
        <v>PRKWG2303M</v>
      </c>
      <c r="I300" s="2" t="str">
        <f t="shared" ref="I300:I311" si="369">"(99)MIX99"</f>
        <v>(99)MIX99</v>
      </c>
      <c r="J300" s="2" t="str">
        <f t="shared" ref="J300:J304" si="370">"160"</f>
        <v>160</v>
      </c>
      <c r="K300" s="2" t="str">
        <f t="shared" ref="K300:K304" si="371">"PRKWG2303M99160"</f>
        <v>PRKWG2303M99160</v>
      </c>
      <c r="L300" s="2" t="str">
        <f t="shared" si="365"/>
        <v>899</v>
      </c>
      <c r="M300" s="1">
        <v>3</v>
      </c>
      <c r="N300" s="1">
        <v>2697</v>
      </c>
      <c r="O300" s="1">
        <v>3</v>
      </c>
      <c r="P300" s="1">
        <v>2697</v>
      </c>
      <c r="Q300" s="1">
        <v>0</v>
      </c>
      <c r="R300" s="1">
        <v>0</v>
      </c>
      <c r="S300" s="1">
        <v>0</v>
      </c>
      <c r="T300" s="1">
        <v>0</v>
      </c>
      <c r="U300" s="1">
        <v>3</v>
      </c>
      <c r="V300" s="1">
        <v>2697</v>
      </c>
    </row>
    <row r="301" spans="1:22" x14ac:dyDescent="0.15">
      <c r="A301" s="2" t="str">
        <f t="shared" si="366"/>
        <v>CKGQ</v>
      </c>
      <c r="B301" s="2" t="str">
        <f t="shared" si="367"/>
        <v>西北支社</v>
      </c>
      <c r="C301" s="2" t="str">
        <f t="shared" si="368"/>
        <v>PR 兰州百盛(CKGQ)</v>
      </c>
      <c r="D301" s="2" t="str">
        <f t="shared" si="361"/>
        <v>2026</v>
      </c>
      <c r="E301" s="2" t="str">
        <f t="shared" si="362"/>
        <v>夏</v>
      </c>
      <c r="F301" s="2" t="str">
        <f t="shared" si="363"/>
        <v>一般毛衣(SWEATER)(KW)</v>
      </c>
      <c r="H301" s="2" t="str">
        <f t="shared" si="364"/>
        <v>PRKWG2303M</v>
      </c>
      <c r="I301" s="2" t="str">
        <f t="shared" si="369"/>
        <v>(99)MIX99</v>
      </c>
      <c r="J301" s="2" t="str">
        <f>"165"</f>
        <v>165</v>
      </c>
      <c r="K301" s="2" t="str">
        <f>"PRKWG2303M99165"</f>
        <v>PRKWG2303M99165</v>
      </c>
      <c r="L301" s="2" t="str">
        <f t="shared" si="365"/>
        <v>899</v>
      </c>
      <c r="M301" s="1">
        <v>3</v>
      </c>
      <c r="N301" s="1">
        <v>2697</v>
      </c>
      <c r="O301" s="1">
        <v>3</v>
      </c>
      <c r="P301" s="1">
        <v>2697</v>
      </c>
      <c r="Q301" s="1">
        <v>0</v>
      </c>
      <c r="R301" s="1">
        <v>0</v>
      </c>
      <c r="S301" s="1">
        <v>0</v>
      </c>
      <c r="T301" s="1">
        <v>0</v>
      </c>
      <c r="U301" s="1">
        <v>3</v>
      </c>
      <c r="V301" s="1">
        <v>2697</v>
      </c>
    </row>
    <row r="302" spans="1:22" x14ac:dyDescent="0.15">
      <c r="A302" s="2" t="str">
        <f t="shared" si="366"/>
        <v>CKGQ</v>
      </c>
      <c r="B302" s="2" t="str">
        <f t="shared" si="367"/>
        <v>西北支社</v>
      </c>
      <c r="C302" s="2" t="str">
        <f t="shared" si="368"/>
        <v>PR 兰州百盛(CKGQ)</v>
      </c>
      <c r="D302" s="2" t="str">
        <f t="shared" si="361"/>
        <v>2026</v>
      </c>
      <c r="E302" s="2" t="str">
        <f t="shared" si="362"/>
        <v>夏</v>
      </c>
      <c r="F302" s="2" t="str">
        <f t="shared" si="363"/>
        <v>一般毛衣(SWEATER)(KW)</v>
      </c>
      <c r="H302" s="2" t="str">
        <f t="shared" si="364"/>
        <v>PRKWG2303M</v>
      </c>
      <c r="I302" s="2" t="str">
        <f t="shared" si="369"/>
        <v>(99)MIX99</v>
      </c>
      <c r="J302" s="2" t="str">
        <f>"170"</f>
        <v>170</v>
      </c>
      <c r="K302" s="2" t="str">
        <f>"PRKWG2303M99170"</f>
        <v>PRKWG2303M99170</v>
      </c>
      <c r="L302" s="2" t="str">
        <f t="shared" si="365"/>
        <v>899</v>
      </c>
      <c r="M302" s="1">
        <v>1</v>
      </c>
      <c r="N302" s="1">
        <v>899</v>
      </c>
      <c r="O302" s="1">
        <v>1</v>
      </c>
      <c r="P302" s="1">
        <v>899</v>
      </c>
      <c r="Q302" s="1">
        <v>0</v>
      </c>
      <c r="R302" s="1">
        <v>0</v>
      </c>
      <c r="S302" s="1">
        <v>0</v>
      </c>
      <c r="T302" s="1">
        <v>0</v>
      </c>
      <c r="U302" s="1">
        <v>1</v>
      </c>
      <c r="V302" s="1">
        <v>899</v>
      </c>
    </row>
    <row r="303" spans="1:22" x14ac:dyDescent="0.15">
      <c r="A303" s="2" t="str">
        <f>"CKJ7"</f>
        <v>CKJ7</v>
      </c>
      <c r="B303" s="2" t="str">
        <f>"电商-抖音"</f>
        <v>电商-抖音</v>
      </c>
      <c r="C303" s="2" t="str">
        <f>"PR 抖音一店 销售*1895(CKJ7)"</f>
        <v>PR 抖音一店 销售*1895(CKJ7)</v>
      </c>
      <c r="D303" s="2" t="str">
        <f t="shared" si="361"/>
        <v>2026</v>
      </c>
      <c r="E303" s="2" t="str">
        <f t="shared" si="362"/>
        <v>夏</v>
      </c>
      <c r="F303" s="2" t="str">
        <f t="shared" si="363"/>
        <v>一般毛衣(SWEATER)(KW)</v>
      </c>
      <c r="H303" s="2" t="str">
        <f t="shared" si="364"/>
        <v>PRKWG2303M</v>
      </c>
      <c r="I303" s="2" t="str">
        <f t="shared" si="369"/>
        <v>(99)MIX99</v>
      </c>
      <c r="J303" s="2" t="str">
        <f t="shared" si="370"/>
        <v>160</v>
      </c>
      <c r="K303" s="2" t="str">
        <f t="shared" si="371"/>
        <v>PRKWG2303M99160</v>
      </c>
      <c r="L303" s="2" t="str">
        <f t="shared" si="365"/>
        <v>899</v>
      </c>
      <c r="M303" s="1">
        <v>1</v>
      </c>
      <c r="N303" s="1">
        <v>899</v>
      </c>
      <c r="O303" s="1">
        <v>1</v>
      </c>
      <c r="P303" s="1">
        <v>899</v>
      </c>
      <c r="Q303" s="1">
        <v>0</v>
      </c>
      <c r="R303" s="1">
        <v>0</v>
      </c>
      <c r="S303" s="1">
        <v>0</v>
      </c>
      <c r="T303" s="1">
        <v>0</v>
      </c>
      <c r="U303" s="1">
        <v>1</v>
      </c>
      <c r="V303" s="1">
        <v>899</v>
      </c>
    </row>
    <row r="304" spans="1:22" x14ac:dyDescent="0.15">
      <c r="A304" s="2" t="str">
        <f t="shared" ref="A304:A306" si="372">"CKQ8"</f>
        <v>CKQ8</v>
      </c>
      <c r="B304" s="2" t="str">
        <f t="shared" ref="B304:B306" si="373">"北京支社"</f>
        <v>北京支社</v>
      </c>
      <c r="C304" s="2" t="str">
        <f t="shared" ref="C304:C306" si="374">"PR 北京物美京北大世界(CKQ8)"</f>
        <v>PR 北京物美京北大世界(CKQ8)</v>
      </c>
      <c r="D304" s="2" t="str">
        <f t="shared" si="361"/>
        <v>2026</v>
      </c>
      <c r="E304" s="2" t="str">
        <f t="shared" si="362"/>
        <v>夏</v>
      </c>
      <c r="F304" s="2" t="str">
        <f t="shared" si="363"/>
        <v>一般毛衣(SWEATER)(KW)</v>
      </c>
      <c r="H304" s="2" t="str">
        <f t="shared" si="364"/>
        <v>PRKWG2303M</v>
      </c>
      <c r="I304" s="2" t="str">
        <f t="shared" si="369"/>
        <v>(99)MIX99</v>
      </c>
      <c r="J304" s="2" t="str">
        <f t="shared" si="370"/>
        <v>160</v>
      </c>
      <c r="K304" s="2" t="str">
        <f t="shared" si="371"/>
        <v>PRKWG2303M99160</v>
      </c>
      <c r="L304" s="2" t="str">
        <f t="shared" si="365"/>
        <v>899</v>
      </c>
      <c r="M304" s="1">
        <v>3</v>
      </c>
      <c r="N304" s="1">
        <v>2697</v>
      </c>
      <c r="O304" s="1">
        <v>3</v>
      </c>
      <c r="P304" s="1">
        <v>2697</v>
      </c>
      <c r="Q304" s="1">
        <v>0</v>
      </c>
      <c r="R304" s="1">
        <v>0</v>
      </c>
      <c r="S304" s="1">
        <v>1</v>
      </c>
      <c r="T304" s="1">
        <v>899</v>
      </c>
      <c r="U304" s="1">
        <v>4</v>
      </c>
      <c r="V304" s="1">
        <v>3596</v>
      </c>
    </row>
    <row r="305" spans="1:22" x14ac:dyDescent="0.15">
      <c r="A305" s="2" t="str">
        <f t="shared" si="372"/>
        <v>CKQ8</v>
      </c>
      <c r="B305" s="2" t="str">
        <f t="shared" si="373"/>
        <v>北京支社</v>
      </c>
      <c r="C305" s="2" t="str">
        <f t="shared" si="374"/>
        <v>PR 北京物美京北大世界(CKQ8)</v>
      </c>
      <c r="D305" s="2" t="str">
        <f t="shared" si="361"/>
        <v>2026</v>
      </c>
      <c r="E305" s="2" t="str">
        <f t="shared" si="362"/>
        <v>夏</v>
      </c>
      <c r="F305" s="2" t="str">
        <f t="shared" si="363"/>
        <v>一般毛衣(SWEATER)(KW)</v>
      </c>
      <c r="H305" s="2" t="str">
        <f t="shared" si="364"/>
        <v>PRKWG2303M</v>
      </c>
      <c r="I305" s="2" t="str">
        <f t="shared" si="369"/>
        <v>(99)MIX99</v>
      </c>
      <c r="J305" s="2" t="str">
        <f>"165"</f>
        <v>165</v>
      </c>
      <c r="K305" s="2" t="str">
        <f>"PRKWG2303M99165"</f>
        <v>PRKWG2303M99165</v>
      </c>
      <c r="L305" s="2" t="str">
        <f t="shared" si="365"/>
        <v>899</v>
      </c>
      <c r="M305" s="1">
        <v>3</v>
      </c>
      <c r="N305" s="1">
        <v>2697</v>
      </c>
      <c r="O305" s="1">
        <v>3</v>
      </c>
      <c r="P305" s="1">
        <v>2697</v>
      </c>
      <c r="Q305" s="1">
        <v>0</v>
      </c>
      <c r="R305" s="1">
        <v>0</v>
      </c>
      <c r="S305" s="1">
        <v>0</v>
      </c>
      <c r="T305" s="1">
        <v>0</v>
      </c>
      <c r="U305" s="1">
        <v>3</v>
      </c>
      <c r="V305" s="1">
        <v>2697</v>
      </c>
    </row>
    <row r="306" spans="1:22" x14ac:dyDescent="0.15">
      <c r="A306" s="2" t="str">
        <f t="shared" si="372"/>
        <v>CKQ8</v>
      </c>
      <c r="B306" s="2" t="str">
        <f t="shared" si="373"/>
        <v>北京支社</v>
      </c>
      <c r="C306" s="2" t="str">
        <f t="shared" si="374"/>
        <v>PR 北京物美京北大世界(CKQ8)</v>
      </c>
      <c r="D306" s="2" t="str">
        <f t="shared" si="361"/>
        <v>2026</v>
      </c>
      <c r="E306" s="2" t="str">
        <f t="shared" si="362"/>
        <v>夏</v>
      </c>
      <c r="F306" s="2" t="str">
        <f t="shared" si="363"/>
        <v>一般毛衣(SWEATER)(KW)</v>
      </c>
      <c r="H306" s="2" t="str">
        <f t="shared" si="364"/>
        <v>PRKWG2303M</v>
      </c>
      <c r="I306" s="2" t="str">
        <f t="shared" si="369"/>
        <v>(99)MIX99</v>
      </c>
      <c r="J306" s="2" t="str">
        <f>"170"</f>
        <v>170</v>
      </c>
      <c r="K306" s="2" t="str">
        <f>"PRKWG2303M99170"</f>
        <v>PRKWG2303M99170</v>
      </c>
      <c r="L306" s="2" t="str">
        <f t="shared" si="365"/>
        <v>899</v>
      </c>
      <c r="M306" s="1">
        <v>2</v>
      </c>
      <c r="N306" s="1">
        <v>1798</v>
      </c>
      <c r="O306" s="1">
        <v>2</v>
      </c>
      <c r="P306" s="1">
        <v>1798</v>
      </c>
      <c r="Q306" s="1">
        <v>0</v>
      </c>
      <c r="R306" s="1">
        <v>0</v>
      </c>
      <c r="S306" s="1">
        <v>0</v>
      </c>
      <c r="T306" s="1">
        <v>0</v>
      </c>
      <c r="U306" s="1">
        <v>2</v>
      </c>
      <c r="V306" s="1">
        <v>1798</v>
      </c>
    </row>
    <row r="307" spans="1:22" x14ac:dyDescent="0.15">
      <c r="A307" s="2" t="str">
        <f t="shared" ref="A307:A309" si="375">"CKS0"</f>
        <v>CKS0</v>
      </c>
      <c r="B307" s="2" t="str">
        <f t="shared" ref="B307:B309" si="376">"华东支社"</f>
        <v>华东支社</v>
      </c>
      <c r="C307" s="2" t="str">
        <f t="shared" ref="C307:C309" si="377">"PR 南京金鹰汉中路店(CKS0)"</f>
        <v>PR 南京金鹰汉中路店(CKS0)</v>
      </c>
      <c r="D307" s="2" t="str">
        <f t="shared" si="361"/>
        <v>2026</v>
      </c>
      <c r="E307" s="2" t="str">
        <f t="shared" si="362"/>
        <v>夏</v>
      </c>
      <c r="F307" s="2" t="str">
        <f t="shared" si="363"/>
        <v>一般毛衣(SWEATER)(KW)</v>
      </c>
      <c r="H307" s="2" t="str">
        <f t="shared" si="364"/>
        <v>PRKWG2303M</v>
      </c>
      <c r="I307" s="2" t="str">
        <f t="shared" si="369"/>
        <v>(99)MIX99</v>
      </c>
      <c r="J307" s="2" t="str">
        <f t="shared" ref="J307:J310" si="378">"160"</f>
        <v>160</v>
      </c>
      <c r="K307" s="2" t="str">
        <f>"PRKWG2303M99160"</f>
        <v>PRKWG2303M99160</v>
      </c>
      <c r="L307" s="2" t="str">
        <f t="shared" si="365"/>
        <v>899</v>
      </c>
      <c r="M307" s="1">
        <v>2</v>
      </c>
      <c r="N307" s="1">
        <v>1798</v>
      </c>
      <c r="O307" s="1">
        <v>2</v>
      </c>
      <c r="P307" s="1">
        <v>1798</v>
      </c>
      <c r="Q307" s="1">
        <v>0</v>
      </c>
      <c r="R307" s="1">
        <v>0</v>
      </c>
      <c r="S307" s="1">
        <v>0</v>
      </c>
      <c r="T307" s="1">
        <v>0</v>
      </c>
      <c r="U307" s="1">
        <v>2</v>
      </c>
      <c r="V307" s="1">
        <v>1798</v>
      </c>
    </row>
    <row r="308" spans="1:22" x14ac:dyDescent="0.15">
      <c r="A308" s="2" t="str">
        <f t="shared" si="375"/>
        <v>CKS0</v>
      </c>
      <c r="B308" s="2" t="str">
        <f t="shared" si="376"/>
        <v>华东支社</v>
      </c>
      <c r="C308" s="2" t="str">
        <f t="shared" si="377"/>
        <v>PR 南京金鹰汉中路店(CKS0)</v>
      </c>
      <c r="D308" s="2" t="str">
        <f t="shared" si="361"/>
        <v>2026</v>
      </c>
      <c r="E308" s="2" t="str">
        <f t="shared" si="362"/>
        <v>夏</v>
      </c>
      <c r="F308" s="2" t="str">
        <f t="shared" si="363"/>
        <v>一般毛衣(SWEATER)(KW)</v>
      </c>
      <c r="H308" s="2" t="str">
        <f t="shared" si="364"/>
        <v>PRKWG2303M</v>
      </c>
      <c r="I308" s="2" t="str">
        <f t="shared" si="369"/>
        <v>(99)MIX99</v>
      </c>
      <c r="J308" s="2" t="str">
        <f t="shared" ref="J308:J311" si="379">"165"</f>
        <v>165</v>
      </c>
      <c r="K308" s="2" t="str">
        <f>"PRKWG2303M99165"</f>
        <v>PRKWG2303M99165</v>
      </c>
      <c r="L308" s="2" t="str">
        <f t="shared" si="365"/>
        <v>899</v>
      </c>
      <c r="M308" s="1">
        <v>1</v>
      </c>
      <c r="N308" s="1">
        <v>899</v>
      </c>
      <c r="O308" s="1">
        <v>1</v>
      </c>
      <c r="P308" s="1">
        <v>899</v>
      </c>
      <c r="Q308" s="1">
        <v>0</v>
      </c>
      <c r="R308" s="1">
        <v>0</v>
      </c>
      <c r="S308" s="1">
        <v>0</v>
      </c>
      <c r="T308" s="1">
        <v>0</v>
      </c>
      <c r="U308" s="1">
        <v>1</v>
      </c>
      <c r="V308" s="1">
        <v>899</v>
      </c>
    </row>
    <row r="309" spans="1:22" x14ac:dyDescent="0.15">
      <c r="A309" s="2" t="str">
        <f t="shared" si="375"/>
        <v>CKS0</v>
      </c>
      <c r="B309" s="2" t="str">
        <f t="shared" si="376"/>
        <v>华东支社</v>
      </c>
      <c r="C309" s="2" t="str">
        <f t="shared" si="377"/>
        <v>PR 南京金鹰汉中路店(CKS0)</v>
      </c>
      <c r="D309" s="2" t="str">
        <f t="shared" si="361"/>
        <v>2026</v>
      </c>
      <c r="E309" s="2" t="str">
        <f t="shared" si="362"/>
        <v>夏</v>
      </c>
      <c r="F309" s="2" t="str">
        <f t="shared" si="363"/>
        <v>一般毛衣(SWEATER)(KW)</v>
      </c>
      <c r="H309" s="2" t="str">
        <f t="shared" si="364"/>
        <v>PRKWG2303M</v>
      </c>
      <c r="I309" s="2" t="str">
        <f t="shared" si="369"/>
        <v>(99)MIX99</v>
      </c>
      <c r="J309" s="2" t="str">
        <f>"170"</f>
        <v>170</v>
      </c>
      <c r="K309" s="2" t="str">
        <f>"PRKWG2303M99170"</f>
        <v>PRKWG2303M99170</v>
      </c>
      <c r="L309" s="2" t="str">
        <f t="shared" si="365"/>
        <v>899</v>
      </c>
      <c r="M309" s="1">
        <v>1</v>
      </c>
      <c r="N309" s="1">
        <v>899</v>
      </c>
      <c r="O309" s="1">
        <v>1</v>
      </c>
      <c r="P309" s="1">
        <v>899</v>
      </c>
      <c r="Q309" s="1">
        <v>0</v>
      </c>
      <c r="R309" s="1">
        <v>0</v>
      </c>
      <c r="S309" s="1">
        <v>0</v>
      </c>
      <c r="T309" s="1">
        <v>0</v>
      </c>
      <c r="U309" s="1">
        <v>1</v>
      </c>
      <c r="V309" s="1">
        <v>899</v>
      </c>
    </row>
    <row r="310" spans="1:22" x14ac:dyDescent="0.15">
      <c r="A310" s="2" t="str">
        <f>"CKSB"</f>
        <v>CKSB</v>
      </c>
      <c r="B310" s="2" t="str">
        <f>"川南支社"</f>
        <v>川南支社</v>
      </c>
      <c r="C310" s="2" t="str">
        <f>"PR 绵阳茂业(CKSB)"</f>
        <v>PR 绵阳茂业(CKSB)</v>
      </c>
      <c r="D310" s="2" t="str">
        <f t="shared" si="361"/>
        <v>2026</v>
      </c>
      <c r="E310" s="2" t="str">
        <f t="shared" si="362"/>
        <v>夏</v>
      </c>
      <c r="F310" s="2" t="str">
        <f t="shared" si="363"/>
        <v>一般毛衣(SWEATER)(KW)</v>
      </c>
      <c r="H310" s="2" t="str">
        <f t="shared" si="364"/>
        <v>PRKWG2303M</v>
      </c>
      <c r="I310" s="2" t="str">
        <f t="shared" si="369"/>
        <v>(99)MIX99</v>
      </c>
      <c r="J310" s="2" t="str">
        <f t="shared" si="378"/>
        <v>160</v>
      </c>
      <c r="K310" s="2" t="str">
        <f>"PRKWG2303M99160"</f>
        <v>PRKWG2303M99160</v>
      </c>
      <c r="L310" s="2" t="str">
        <f t="shared" si="365"/>
        <v>899</v>
      </c>
      <c r="M310" s="1">
        <v>2</v>
      </c>
      <c r="N310" s="1">
        <v>1798</v>
      </c>
      <c r="O310" s="1">
        <v>2</v>
      </c>
      <c r="P310" s="1">
        <v>1798</v>
      </c>
      <c r="Q310" s="1">
        <v>0</v>
      </c>
      <c r="R310" s="1">
        <v>0</v>
      </c>
      <c r="S310" s="1">
        <v>0</v>
      </c>
      <c r="T310" s="1">
        <v>0</v>
      </c>
      <c r="U310" s="1">
        <v>2</v>
      </c>
      <c r="V310" s="1">
        <v>1798</v>
      </c>
    </row>
    <row r="311" spans="1:22" x14ac:dyDescent="0.15">
      <c r="A311" s="2" t="str">
        <f>"CKSB"</f>
        <v>CKSB</v>
      </c>
      <c r="B311" s="2" t="str">
        <f>"川南支社"</f>
        <v>川南支社</v>
      </c>
      <c r="C311" s="2" t="str">
        <f>"PR 绵阳茂业(CKSB)"</f>
        <v>PR 绵阳茂业(CKSB)</v>
      </c>
      <c r="D311" s="2" t="str">
        <f t="shared" si="361"/>
        <v>2026</v>
      </c>
      <c r="E311" s="2" t="str">
        <f t="shared" si="362"/>
        <v>夏</v>
      </c>
      <c r="F311" s="2" t="str">
        <f t="shared" si="363"/>
        <v>一般毛衣(SWEATER)(KW)</v>
      </c>
      <c r="H311" s="2" t="str">
        <f t="shared" si="364"/>
        <v>PRKWG2303M</v>
      </c>
      <c r="I311" s="2" t="str">
        <f t="shared" si="369"/>
        <v>(99)MIX99</v>
      </c>
      <c r="J311" s="2" t="str">
        <f t="shared" si="379"/>
        <v>165</v>
      </c>
      <c r="K311" s="2" t="str">
        <f>"PRKWG2303M99165"</f>
        <v>PRKWG2303M99165</v>
      </c>
      <c r="L311" s="2" t="str">
        <f t="shared" si="365"/>
        <v>899</v>
      </c>
      <c r="M311" s="1">
        <v>1</v>
      </c>
      <c r="N311" s="1">
        <v>899</v>
      </c>
      <c r="O311" s="1">
        <v>1</v>
      </c>
      <c r="P311" s="1">
        <v>899</v>
      </c>
      <c r="Q311" s="1">
        <v>0</v>
      </c>
      <c r="R311" s="1">
        <v>0</v>
      </c>
      <c r="S311" s="1">
        <v>0</v>
      </c>
      <c r="T311" s="1">
        <v>0</v>
      </c>
      <c r="U311" s="1">
        <v>1</v>
      </c>
      <c r="V311" s="1">
        <v>899</v>
      </c>
    </row>
    <row r="312" spans="1:22" x14ac:dyDescent="0.15">
      <c r="A312" s="2" t="str">
        <f t="shared" ref="A312:A314" si="380">"CKX4"</f>
        <v>CKX4</v>
      </c>
      <c r="B312" s="2" t="str">
        <f t="shared" ref="B312:B314" si="381">"西北支社"</f>
        <v>西北支社</v>
      </c>
      <c r="C312" s="2" t="str">
        <f t="shared" ref="C312:C314" si="382">"PR 延安百货大楼(CKX4)"</f>
        <v>PR 延安百货大楼(CKX4)</v>
      </c>
      <c r="D312" s="2" t="str">
        <f t="shared" si="361"/>
        <v>2026</v>
      </c>
      <c r="E312" s="2" t="str">
        <f t="shared" si="362"/>
        <v>夏</v>
      </c>
      <c r="F312" s="2" t="str">
        <f t="shared" si="363"/>
        <v>一般毛衣(SWEATER)(KW)</v>
      </c>
      <c r="H312" s="2" t="str">
        <f t="shared" si="364"/>
        <v>PRKWG2303M</v>
      </c>
      <c r="I312" s="2" t="str">
        <f t="shared" ref="I312:I314" si="383">"(99)MIX99"</f>
        <v>(99)MIX99</v>
      </c>
      <c r="J312" s="2" t="str">
        <f t="shared" ref="J312:J315" si="384">"160"</f>
        <v>160</v>
      </c>
      <c r="K312" s="2" t="str">
        <f>"PRKWG2303M99160"</f>
        <v>PRKWG2303M99160</v>
      </c>
      <c r="L312" s="2" t="str">
        <f t="shared" si="365"/>
        <v>899</v>
      </c>
      <c r="M312" s="1">
        <v>2</v>
      </c>
      <c r="N312" s="1">
        <v>1798</v>
      </c>
      <c r="O312" s="1">
        <v>2</v>
      </c>
      <c r="P312" s="1">
        <v>1798</v>
      </c>
      <c r="Q312" s="1">
        <v>0</v>
      </c>
      <c r="R312" s="1">
        <v>0</v>
      </c>
      <c r="S312" s="1">
        <v>1</v>
      </c>
      <c r="T312" s="1">
        <v>899</v>
      </c>
      <c r="U312" s="1">
        <v>3</v>
      </c>
      <c r="V312" s="1">
        <v>2697</v>
      </c>
    </row>
    <row r="313" spans="1:22" x14ac:dyDescent="0.15">
      <c r="A313" s="2" t="str">
        <f t="shared" si="380"/>
        <v>CKX4</v>
      </c>
      <c r="B313" s="2" t="str">
        <f t="shared" si="381"/>
        <v>西北支社</v>
      </c>
      <c r="C313" s="2" t="str">
        <f t="shared" si="382"/>
        <v>PR 延安百货大楼(CKX4)</v>
      </c>
      <c r="D313" s="2" t="str">
        <f t="shared" si="361"/>
        <v>2026</v>
      </c>
      <c r="E313" s="2" t="str">
        <f t="shared" si="362"/>
        <v>夏</v>
      </c>
      <c r="F313" s="2" t="str">
        <f t="shared" si="363"/>
        <v>一般毛衣(SWEATER)(KW)</v>
      </c>
      <c r="H313" s="2" t="str">
        <f t="shared" si="364"/>
        <v>PRKWG2303M</v>
      </c>
      <c r="I313" s="2" t="str">
        <f t="shared" si="383"/>
        <v>(99)MIX99</v>
      </c>
      <c r="J313" s="2" t="str">
        <f t="shared" ref="J313:J316" si="385">"165"</f>
        <v>165</v>
      </c>
      <c r="K313" s="2" t="str">
        <f>"PRKWG2303M99165"</f>
        <v>PRKWG2303M99165</v>
      </c>
      <c r="L313" s="2" t="str">
        <f t="shared" si="365"/>
        <v>899</v>
      </c>
      <c r="M313" s="1">
        <v>3</v>
      </c>
      <c r="N313" s="1">
        <v>2697</v>
      </c>
      <c r="O313" s="1">
        <v>3</v>
      </c>
      <c r="P313" s="1">
        <v>2697</v>
      </c>
      <c r="Q313" s="1">
        <v>0</v>
      </c>
      <c r="R313" s="1">
        <v>0</v>
      </c>
      <c r="S313" s="1">
        <v>0</v>
      </c>
      <c r="T313" s="1">
        <v>0</v>
      </c>
      <c r="U313" s="1">
        <v>3</v>
      </c>
      <c r="V313" s="1">
        <v>2697</v>
      </c>
    </row>
    <row r="314" spans="1:22" x14ac:dyDescent="0.15">
      <c r="A314" s="2" t="str">
        <f t="shared" si="380"/>
        <v>CKX4</v>
      </c>
      <c r="B314" s="2" t="str">
        <f t="shared" si="381"/>
        <v>西北支社</v>
      </c>
      <c r="C314" s="2" t="str">
        <f t="shared" si="382"/>
        <v>PR 延安百货大楼(CKX4)</v>
      </c>
      <c r="D314" s="2" t="str">
        <f t="shared" si="361"/>
        <v>2026</v>
      </c>
      <c r="E314" s="2" t="str">
        <f t="shared" si="362"/>
        <v>夏</v>
      </c>
      <c r="F314" s="2" t="str">
        <f t="shared" si="363"/>
        <v>一般毛衣(SWEATER)(KW)</v>
      </c>
      <c r="H314" s="2" t="str">
        <f t="shared" si="364"/>
        <v>PRKWG2303M</v>
      </c>
      <c r="I314" s="2" t="str">
        <f t="shared" si="383"/>
        <v>(99)MIX99</v>
      </c>
      <c r="J314" s="2" t="str">
        <f>"170"</f>
        <v>170</v>
      </c>
      <c r="K314" s="2" t="str">
        <f>"PRKWG2303M99170"</f>
        <v>PRKWG2303M99170</v>
      </c>
      <c r="L314" s="2" t="str">
        <f t="shared" si="365"/>
        <v>899</v>
      </c>
      <c r="M314" s="1">
        <v>1</v>
      </c>
      <c r="N314" s="1">
        <v>899</v>
      </c>
      <c r="O314" s="1">
        <v>1</v>
      </c>
      <c r="P314" s="1">
        <v>899</v>
      </c>
      <c r="Q314" s="1">
        <v>0</v>
      </c>
      <c r="R314" s="1">
        <v>0</v>
      </c>
      <c r="S314" s="1">
        <v>1</v>
      </c>
      <c r="T314" s="1">
        <v>899</v>
      </c>
      <c r="U314" s="1">
        <v>2</v>
      </c>
      <c r="V314" s="1">
        <v>1798</v>
      </c>
    </row>
    <row r="315" spans="1:22" x14ac:dyDescent="0.15">
      <c r="A315" s="2" t="str">
        <f t="shared" ref="A315:A316" si="386">"CKYK"</f>
        <v>CKYK</v>
      </c>
      <c r="B315" s="2" t="str">
        <f t="shared" ref="B315:B316" si="387">"川南支社"</f>
        <v>川南支社</v>
      </c>
      <c r="C315" s="2" t="str">
        <f t="shared" ref="C315:C316" si="388">"PR 宜宾叙府(CKYK)"</f>
        <v>PR 宜宾叙府(CKYK)</v>
      </c>
      <c r="D315" s="2" t="str">
        <f t="shared" si="361"/>
        <v>2026</v>
      </c>
      <c r="E315" s="2" t="str">
        <f t="shared" si="362"/>
        <v>夏</v>
      </c>
      <c r="F315" s="2" t="str">
        <f t="shared" si="363"/>
        <v>一般毛衣(SWEATER)(KW)</v>
      </c>
      <c r="H315" s="2" t="str">
        <f t="shared" si="364"/>
        <v>PRKWG2303M</v>
      </c>
      <c r="I315" s="2" t="str">
        <f t="shared" ref="I315:I319" si="389">"(99)MIX99"</f>
        <v>(99)MIX99</v>
      </c>
      <c r="J315" s="2" t="str">
        <f t="shared" si="384"/>
        <v>160</v>
      </c>
      <c r="K315" s="2" t="str">
        <f>"PRKWG2303M99160"</f>
        <v>PRKWG2303M99160</v>
      </c>
      <c r="L315" s="2" t="str">
        <f t="shared" si="365"/>
        <v>899</v>
      </c>
      <c r="M315" s="1">
        <v>3</v>
      </c>
      <c r="N315" s="1">
        <v>2697</v>
      </c>
      <c r="O315" s="1">
        <v>3</v>
      </c>
      <c r="P315" s="1">
        <v>2697</v>
      </c>
      <c r="Q315" s="1">
        <v>0</v>
      </c>
      <c r="R315" s="1">
        <v>0</v>
      </c>
      <c r="S315" s="1">
        <v>0</v>
      </c>
      <c r="T315" s="1">
        <v>0</v>
      </c>
      <c r="U315" s="1">
        <v>3</v>
      </c>
      <c r="V315" s="1">
        <v>2697</v>
      </c>
    </row>
    <row r="316" spans="1:22" x14ac:dyDescent="0.15">
      <c r="A316" s="2" t="str">
        <f t="shared" si="386"/>
        <v>CKYK</v>
      </c>
      <c r="B316" s="2" t="str">
        <f t="shared" si="387"/>
        <v>川南支社</v>
      </c>
      <c r="C316" s="2" t="str">
        <f t="shared" si="388"/>
        <v>PR 宜宾叙府(CKYK)</v>
      </c>
      <c r="D316" s="2" t="str">
        <f t="shared" si="361"/>
        <v>2026</v>
      </c>
      <c r="E316" s="2" t="str">
        <f t="shared" si="362"/>
        <v>夏</v>
      </c>
      <c r="F316" s="2" t="str">
        <f t="shared" si="363"/>
        <v>一般毛衣(SWEATER)(KW)</v>
      </c>
      <c r="H316" s="2" t="str">
        <f t="shared" si="364"/>
        <v>PRKWG2303M</v>
      </c>
      <c r="I316" s="2" t="str">
        <f t="shared" si="389"/>
        <v>(99)MIX99</v>
      </c>
      <c r="J316" s="2" t="str">
        <f t="shared" si="385"/>
        <v>165</v>
      </c>
      <c r="K316" s="2" t="str">
        <f>"PRKWG2303M99165"</f>
        <v>PRKWG2303M99165</v>
      </c>
      <c r="L316" s="2" t="str">
        <f t="shared" si="365"/>
        <v>899</v>
      </c>
      <c r="M316" s="1">
        <v>3</v>
      </c>
      <c r="N316" s="1">
        <v>2697</v>
      </c>
      <c r="O316" s="1">
        <v>3</v>
      </c>
      <c r="P316" s="1">
        <v>2697</v>
      </c>
      <c r="Q316" s="1">
        <v>0</v>
      </c>
      <c r="R316" s="1">
        <v>0</v>
      </c>
      <c r="S316" s="1">
        <v>0</v>
      </c>
      <c r="T316" s="1">
        <v>0</v>
      </c>
      <c r="U316" s="1">
        <v>3</v>
      </c>
      <c r="V316" s="1">
        <v>2697</v>
      </c>
    </row>
    <row r="317" spans="1:22" x14ac:dyDescent="0.15">
      <c r="A317" s="2" t="str">
        <f t="shared" ref="A317:A319" si="390">"CKZS"</f>
        <v>CKZS</v>
      </c>
      <c r="B317" s="2" t="str">
        <f t="shared" ref="B317:B322" si="391">"川西支社"</f>
        <v>川西支社</v>
      </c>
      <c r="C317" s="2" t="str">
        <f t="shared" ref="C317:C319" si="392">"PR 成都西单商场1(CKZS)"</f>
        <v>PR 成都西单商场1(CKZS)</v>
      </c>
      <c r="D317" s="2" t="str">
        <f t="shared" si="361"/>
        <v>2026</v>
      </c>
      <c r="E317" s="2" t="str">
        <f t="shared" si="362"/>
        <v>夏</v>
      </c>
      <c r="F317" s="2" t="str">
        <f t="shared" si="363"/>
        <v>一般毛衣(SWEATER)(KW)</v>
      </c>
      <c r="H317" s="2" t="str">
        <f t="shared" si="364"/>
        <v>PRKWG2303M</v>
      </c>
      <c r="I317" s="2" t="str">
        <f t="shared" si="389"/>
        <v>(99)MIX99</v>
      </c>
      <c r="J317" s="2" t="str">
        <f>"160"</f>
        <v>160</v>
      </c>
      <c r="K317" s="2" t="str">
        <f>"PRKWG2303M99160"</f>
        <v>PRKWG2303M99160</v>
      </c>
      <c r="L317" s="2" t="str">
        <f t="shared" si="365"/>
        <v>899</v>
      </c>
      <c r="M317" s="1">
        <v>2</v>
      </c>
      <c r="N317" s="1">
        <v>1798</v>
      </c>
      <c r="O317" s="1">
        <v>2</v>
      </c>
      <c r="P317" s="1">
        <v>1798</v>
      </c>
      <c r="Q317" s="1">
        <v>0</v>
      </c>
      <c r="R317" s="1">
        <v>0</v>
      </c>
      <c r="S317" s="1">
        <v>0</v>
      </c>
      <c r="T317" s="1">
        <v>0</v>
      </c>
      <c r="U317" s="1">
        <v>2</v>
      </c>
      <c r="V317" s="1">
        <v>1798</v>
      </c>
    </row>
    <row r="318" spans="1:22" x14ac:dyDescent="0.15">
      <c r="A318" s="2" t="str">
        <f t="shared" si="390"/>
        <v>CKZS</v>
      </c>
      <c r="B318" s="2" t="str">
        <f t="shared" si="391"/>
        <v>川西支社</v>
      </c>
      <c r="C318" s="2" t="str">
        <f t="shared" si="392"/>
        <v>PR 成都西单商场1(CKZS)</v>
      </c>
      <c r="D318" s="2" t="str">
        <f t="shared" si="361"/>
        <v>2026</v>
      </c>
      <c r="E318" s="2" t="str">
        <f t="shared" si="362"/>
        <v>夏</v>
      </c>
      <c r="F318" s="2" t="str">
        <f t="shared" si="363"/>
        <v>一般毛衣(SWEATER)(KW)</v>
      </c>
      <c r="H318" s="2" t="str">
        <f t="shared" si="364"/>
        <v>PRKWG2303M</v>
      </c>
      <c r="I318" s="2" t="str">
        <f t="shared" si="389"/>
        <v>(99)MIX99</v>
      </c>
      <c r="J318" s="2" t="str">
        <f>"165"</f>
        <v>165</v>
      </c>
      <c r="K318" s="2" t="str">
        <f>"PRKWG2303M99165"</f>
        <v>PRKWG2303M99165</v>
      </c>
      <c r="L318" s="2" t="str">
        <f t="shared" si="365"/>
        <v>899</v>
      </c>
      <c r="M318" s="1">
        <v>1</v>
      </c>
      <c r="N318" s="1">
        <v>899</v>
      </c>
      <c r="O318" s="1">
        <v>1</v>
      </c>
      <c r="P318" s="1">
        <v>899</v>
      </c>
      <c r="Q318" s="1">
        <v>0</v>
      </c>
      <c r="R318" s="1">
        <v>0</v>
      </c>
      <c r="S318" s="1">
        <v>0</v>
      </c>
      <c r="T318" s="1">
        <v>0</v>
      </c>
      <c r="U318" s="1">
        <v>1</v>
      </c>
      <c r="V318" s="1">
        <v>899</v>
      </c>
    </row>
    <row r="319" spans="1:22" x14ac:dyDescent="0.15">
      <c r="A319" s="2" t="str">
        <f t="shared" si="390"/>
        <v>CKZS</v>
      </c>
      <c r="B319" s="2" t="str">
        <f t="shared" si="391"/>
        <v>川西支社</v>
      </c>
      <c r="C319" s="2" t="str">
        <f t="shared" si="392"/>
        <v>PR 成都西单商场1(CKZS)</v>
      </c>
      <c r="D319" s="2" t="str">
        <f t="shared" si="361"/>
        <v>2026</v>
      </c>
      <c r="E319" s="2" t="str">
        <f t="shared" si="362"/>
        <v>夏</v>
      </c>
      <c r="F319" s="2" t="str">
        <f t="shared" si="363"/>
        <v>一般毛衣(SWEATER)(KW)</v>
      </c>
      <c r="H319" s="2" t="str">
        <f t="shared" si="364"/>
        <v>PRKWG2303M</v>
      </c>
      <c r="I319" s="2" t="str">
        <f t="shared" si="389"/>
        <v>(99)MIX99</v>
      </c>
      <c r="J319" s="2" t="str">
        <f>"170"</f>
        <v>170</v>
      </c>
      <c r="K319" s="2" t="str">
        <f>"PRKWG2303M99170"</f>
        <v>PRKWG2303M99170</v>
      </c>
      <c r="L319" s="2" t="str">
        <f t="shared" si="365"/>
        <v>899</v>
      </c>
      <c r="M319" s="1">
        <v>1</v>
      </c>
      <c r="N319" s="1">
        <v>899</v>
      </c>
      <c r="O319" s="1">
        <v>1</v>
      </c>
      <c r="P319" s="1">
        <v>899</v>
      </c>
      <c r="Q319" s="1">
        <v>0</v>
      </c>
      <c r="R319" s="1">
        <v>0</v>
      </c>
      <c r="S319" s="1">
        <v>0</v>
      </c>
      <c r="T319" s="1">
        <v>0</v>
      </c>
      <c r="U319" s="1">
        <v>1</v>
      </c>
      <c r="V319" s="1">
        <v>899</v>
      </c>
    </row>
    <row r="320" spans="1:22" x14ac:dyDescent="0.15">
      <c r="A320" s="2" t="str">
        <f t="shared" ref="A320:A322" si="393">"CLBL"</f>
        <v>CLBL</v>
      </c>
      <c r="B320" s="2" t="str">
        <f t="shared" si="391"/>
        <v>川西支社</v>
      </c>
      <c r="C320" s="2" t="str">
        <f t="shared" ref="C320:C322" si="394">"PR 成都金牛凯德1(CLBL)"</f>
        <v>PR 成都金牛凯德1(CLBL)</v>
      </c>
      <c r="D320" s="2" t="str">
        <f t="shared" si="361"/>
        <v>2026</v>
      </c>
      <c r="E320" s="2" t="str">
        <f t="shared" si="362"/>
        <v>夏</v>
      </c>
      <c r="F320" s="2" t="str">
        <f t="shared" si="363"/>
        <v>一般毛衣(SWEATER)(KW)</v>
      </c>
      <c r="H320" s="2" t="str">
        <f t="shared" si="364"/>
        <v>PRKWG2303M</v>
      </c>
      <c r="I320" s="2" t="str">
        <f t="shared" ref="I320:I340" si="395">"(99)MIX99"</f>
        <v>(99)MIX99</v>
      </c>
      <c r="J320" s="2" t="str">
        <f>"155"</f>
        <v>155</v>
      </c>
      <c r="K320" s="2" t="str">
        <f>"PRKWG2303M99155"</f>
        <v>PRKWG2303M99155</v>
      </c>
      <c r="L320" s="2" t="str">
        <f t="shared" si="365"/>
        <v>899</v>
      </c>
      <c r="M320" s="1">
        <v>3</v>
      </c>
      <c r="N320" s="1">
        <v>2697</v>
      </c>
      <c r="O320" s="1">
        <v>3</v>
      </c>
      <c r="P320" s="1">
        <v>2697</v>
      </c>
      <c r="Q320" s="1">
        <v>0</v>
      </c>
      <c r="R320" s="1">
        <v>0</v>
      </c>
      <c r="S320" s="1">
        <v>0</v>
      </c>
      <c r="T320" s="1">
        <v>0</v>
      </c>
      <c r="U320" s="1">
        <v>3</v>
      </c>
      <c r="V320" s="1">
        <v>2697</v>
      </c>
    </row>
    <row r="321" spans="1:22" x14ac:dyDescent="0.15">
      <c r="A321" s="2" t="str">
        <f t="shared" si="393"/>
        <v>CLBL</v>
      </c>
      <c r="B321" s="2" t="str">
        <f t="shared" si="391"/>
        <v>川西支社</v>
      </c>
      <c r="C321" s="2" t="str">
        <f t="shared" si="394"/>
        <v>PR 成都金牛凯德1(CLBL)</v>
      </c>
      <c r="D321" s="2" t="str">
        <f t="shared" si="361"/>
        <v>2026</v>
      </c>
      <c r="E321" s="2" t="str">
        <f t="shared" si="362"/>
        <v>夏</v>
      </c>
      <c r="F321" s="2" t="str">
        <f t="shared" si="363"/>
        <v>一般毛衣(SWEATER)(KW)</v>
      </c>
      <c r="H321" s="2" t="str">
        <f t="shared" si="364"/>
        <v>PRKWG2303M</v>
      </c>
      <c r="I321" s="2" t="str">
        <f t="shared" si="395"/>
        <v>(99)MIX99</v>
      </c>
      <c r="J321" s="2" t="str">
        <f t="shared" ref="J321:J325" si="396">"160"</f>
        <v>160</v>
      </c>
      <c r="K321" s="2" t="str">
        <f t="shared" ref="K321:K325" si="397">"PRKWG2303M99160"</f>
        <v>PRKWG2303M99160</v>
      </c>
      <c r="L321" s="2" t="str">
        <f t="shared" si="365"/>
        <v>899</v>
      </c>
      <c r="M321" s="1">
        <v>2</v>
      </c>
      <c r="N321" s="1">
        <v>1798</v>
      </c>
      <c r="O321" s="1">
        <v>2</v>
      </c>
      <c r="P321" s="1">
        <v>1798</v>
      </c>
      <c r="Q321" s="1">
        <v>0</v>
      </c>
      <c r="R321" s="1">
        <v>0</v>
      </c>
      <c r="S321" s="1">
        <v>0</v>
      </c>
      <c r="T321" s="1">
        <v>0</v>
      </c>
      <c r="U321" s="1">
        <v>2</v>
      </c>
      <c r="V321" s="1">
        <v>1798</v>
      </c>
    </row>
    <row r="322" spans="1:22" x14ac:dyDescent="0.15">
      <c r="A322" s="2" t="str">
        <f t="shared" si="393"/>
        <v>CLBL</v>
      </c>
      <c r="B322" s="2" t="str">
        <f t="shared" si="391"/>
        <v>川西支社</v>
      </c>
      <c r="C322" s="2" t="str">
        <f t="shared" si="394"/>
        <v>PR 成都金牛凯德1(CLBL)</v>
      </c>
      <c r="D322" s="2" t="str">
        <f t="shared" si="361"/>
        <v>2026</v>
      </c>
      <c r="E322" s="2" t="str">
        <f t="shared" si="362"/>
        <v>夏</v>
      </c>
      <c r="F322" s="2" t="str">
        <f t="shared" si="363"/>
        <v>一般毛衣(SWEATER)(KW)</v>
      </c>
      <c r="H322" s="2" t="str">
        <f t="shared" si="364"/>
        <v>PRKWG2303M</v>
      </c>
      <c r="I322" s="2" t="str">
        <f t="shared" si="395"/>
        <v>(99)MIX99</v>
      </c>
      <c r="J322" s="2" t="str">
        <f>"170"</f>
        <v>170</v>
      </c>
      <c r="K322" s="2" t="str">
        <f>"PRKWG2303M99170"</f>
        <v>PRKWG2303M99170</v>
      </c>
      <c r="L322" s="2" t="str">
        <f t="shared" si="365"/>
        <v>899</v>
      </c>
      <c r="M322" s="1">
        <v>1</v>
      </c>
      <c r="N322" s="1">
        <v>899</v>
      </c>
      <c r="O322" s="1">
        <v>1</v>
      </c>
      <c r="P322" s="1">
        <v>899</v>
      </c>
      <c r="Q322" s="1">
        <v>0</v>
      </c>
      <c r="R322" s="1">
        <v>0</v>
      </c>
      <c r="S322" s="1">
        <v>0</v>
      </c>
      <c r="T322" s="1">
        <v>0</v>
      </c>
      <c r="U322" s="1">
        <v>1</v>
      </c>
      <c r="V322" s="1">
        <v>899</v>
      </c>
    </row>
    <row r="323" spans="1:22" x14ac:dyDescent="0.15">
      <c r="A323" s="2" t="str">
        <f>"CLBP"</f>
        <v>CLBP</v>
      </c>
      <c r="B323" s="2" t="str">
        <f>"华北支社"</f>
        <v>华北支社</v>
      </c>
      <c r="C323" s="2" t="str">
        <f>"PR 天津金元宝(CLBP)"</f>
        <v>PR 天津金元宝(CLBP)</v>
      </c>
      <c r="D323" s="2" t="str">
        <f t="shared" si="361"/>
        <v>2026</v>
      </c>
      <c r="E323" s="2" t="str">
        <f t="shared" si="362"/>
        <v>夏</v>
      </c>
      <c r="F323" s="2" t="str">
        <f t="shared" si="363"/>
        <v>一般毛衣(SWEATER)(KW)</v>
      </c>
      <c r="H323" s="2" t="str">
        <f t="shared" si="364"/>
        <v>PRKWG2303M</v>
      </c>
      <c r="I323" s="2" t="str">
        <f t="shared" si="395"/>
        <v>(99)MIX99</v>
      </c>
      <c r="J323" s="2" t="str">
        <f t="shared" si="396"/>
        <v>160</v>
      </c>
      <c r="K323" s="2" t="str">
        <f t="shared" si="397"/>
        <v>PRKWG2303M99160</v>
      </c>
      <c r="L323" s="2" t="str">
        <f t="shared" si="365"/>
        <v>899</v>
      </c>
      <c r="M323" s="1">
        <v>2</v>
      </c>
      <c r="N323" s="1">
        <v>1798</v>
      </c>
      <c r="O323" s="1">
        <v>2</v>
      </c>
      <c r="P323" s="1">
        <v>1798</v>
      </c>
      <c r="Q323" s="1">
        <v>0</v>
      </c>
      <c r="R323" s="1">
        <v>0</v>
      </c>
      <c r="S323" s="1">
        <v>0</v>
      </c>
      <c r="T323" s="1">
        <v>0</v>
      </c>
      <c r="U323" s="1">
        <v>2</v>
      </c>
      <c r="V323" s="1">
        <v>1798</v>
      </c>
    </row>
    <row r="324" spans="1:22" x14ac:dyDescent="0.15">
      <c r="A324" s="2" t="str">
        <f>"CLBP"</f>
        <v>CLBP</v>
      </c>
      <c r="B324" s="2" t="str">
        <f>"华北支社"</f>
        <v>华北支社</v>
      </c>
      <c r="C324" s="2" t="str">
        <f>"PR 天津金元宝(CLBP)"</f>
        <v>PR 天津金元宝(CLBP)</v>
      </c>
      <c r="D324" s="2" t="str">
        <f t="shared" si="361"/>
        <v>2026</v>
      </c>
      <c r="E324" s="2" t="str">
        <f t="shared" si="362"/>
        <v>夏</v>
      </c>
      <c r="F324" s="2" t="str">
        <f t="shared" si="363"/>
        <v>一般毛衣(SWEATER)(KW)</v>
      </c>
      <c r="H324" s="2" t="str">
        <f t="shared" si="364"/>
        <v>PRKWG2303M</v>
      </c>
      <c r="I324" s="2" t="str">
        <f t="shared" si="395"/>
        <v>(99)MIX99</v>
      </c>
      <c r="J324" s="2" t="str">
        <f>"165"</f>
        <v>165</v>
      </c>
      <c r="K324" s="2" t="str">
        <f>"PRKWG2303M99165"</f>
        <v>PRKWG2303M99165</v>
      </c>
      <c r="L324" s="2" t="str">
        <f t="shared" si="365"/>
        <v>899</v>
      </c>
      <c r="M324" s="1">
        <v>1</v>
      </c>
      <c r="N324" s="1">
        <v>899</v>
      </c>
      <c r="O324" s="1">
        <v>1</v>
      </c>
      <c r="P324" s="1">
        <v>899</v>
      </c>
      <c r="Q324" s="1">
        <v>0</v>
      </c>
      <c r="R324" s="1">
        <v>0</v>
      </c>
      <c r="S324" s="1">
        <v>0</v>
      </c>
      <c r="T324" s="1">
        <v>0</v>
      </c>
      <c r="U324" s="1">
        <v>1</v>
      </c>
      <c r="V324" s="1">
        <v>899</v>
      </c>
    </row>
    <row r="325" spans="1:22" x14ac:dyDescent="0.15">
      <c r="A325" s="2" t="str">
        <f>"CLBW"</f>
        <v>CLBW</v>
      </c>
      <c r="B325" s="2" t="str">
        <f>"华东支社"</f>
        <v>华东支社</v>
      </c>
      <c r="C325" s="2" t="str">
        <f>"PR 南京砂之船江北店(CLBW)"</f>
        <v>PR 南京砂之船江北店(CLBW)</v>
      </c>
      <c r="D325" s="2" t="str">
        <f t="shared" si="361"/>
        <v>2026</v>
      </c>
      <c r="E325" s="2" t="str">
        <f t="shared" si="362"/>
        <v>夏</v>
      </c>
      <c r="F325" s="2" t="str">
        <f t="shared" si="363"/>
        <v>一般毛衣(SWEATER)(KW)</v>
      </c>
      <c r="H325" s="2" t="str">
        <f t="shared" si="364"/>
        <v>PRKWG2303M</v>
      </c>
      <c r="I325" s="2" t="str">
        <f t="shared" si="395"/>
        <v>(99)MIX99</v>
      </c>
      <c r="J325" s="2" t="str">
        <f t="shared" si="396"/>
        <v>160</v>
      </c>
      <c r="K325" s="2" t="str">
        <f t="shared" si="397"/>
        <v>PRKWG2303M99160</v>
      </c>
      <c r="L325" s="2" t="str">
        <f t="shared" si="365"/>
        <v>899</v>
      </c>
      <c r="M325" s="1">
        <v>3</v>
      </c>
      <c r="N325" s="1">
        <v>2697</v>
      </c>
      <c r="O325" s="1">
        <v>3</v>
      </c>
      <c r="P325" s="1">
        <v>2697</v>
      </c>
      <c r="Q325" s="1">
        <v>0</v>
      </c>
      <c r="R325" s="1">
        <v>0</v>
      </c>
      <c r="S325" s="1">
        <v>0</v>
      </c>
      <c r="T325" s="1">
        <v>0</v>
      </c>
      <c r="U325" s="1">
        <v>3</v>
      </c>
      <c r="V325" s="1">
        <v>2697</v>
      </c>
    </row>
    <row r="326" spans="1:22" x14ac:dyDescent="0.15">
      <c r="A326" s="2" t="str">
        <f>"CLBW"</f>
        <v>CLBW</v>
      </c>
      <c r="B326" s="2" t="str">
        <f>"华东支社"</f>
        <v>华东支社</v>
      </c>
      <c r="C326" s="2" t="str">
        <f>"PR 南京砂之船江北店(CLBW)"</f>
        <v>PR 南京砂之船江北店(CLBW)</v>
      </c>
      <c r="D326" s="2" t="str">
        <f t="shared" si="361"/>
        <v>2026</v>
      </c>
      <c r="E326" s="2" t="str">
        <f t="shared" si="362"/>
        <v>夏</v>
      </c>
      <c r="F326" s="2" t="str">
        <f t="shared" si="363"/>
        <v>一般毛衣(SWEATER)(KW)</v>
      </c>
      <c r="H326" s="2" t="str">
        <f t="shared" si="364"/>
        <v>PRKWG2303M</v>
      </c>
      <c r="I326" s="2" t="str">
        <f t="shared" si="395"/>
        <v>(99)MIX99</v>
      </c>
      <c r="J326" s="2" t="str">
        <f>"170"</f>
        <v>170</v>
      </c>
      <c r="K326" s="2" t="str">
        <f>"PRKWG2303M99170"</f>
        <v>PRKWG2303M99170</v>
      </c>
      <c r="L326" s="2" t="str">
        <f t="shared" si="365"/>
        <v>899</v>
      </c>
      <c r="M326" s="1">
        <v>0</v>
      </c>
      <c r="N326" s="1">
        <v>0</v>
      </c>
      <c r="O326" s="1">
        <v>0</v>
      </c>
      <c r="P326" s="1">
        <v>0</v>
      </c>
      <c r="Q326" s="1">
        <v>0</v>
      </c>
      <c r="R326" s="1">
        <v>0</v>
      </c>
      <c r="S326" s="1">
        <v>1</v>
      </c>
      <c r="T326" s="1">
        <v>899</v>
      </c>
      <c r="U326" s="1">
        <v>1</v>
      </c>
      <c r="V326" s="1">
        <v>899</v>
      </c>
    </row>
    <row r="327" spans="1:22" x14ac:dyDescent="0.15">
      <c r="A327" s="2" t="str">
        <f t="shared" ref="A327:A329" si="398">"CLC5"</f>
        <v>CLC5</v>
      </c>
      <c r="B327" s="2" t="str">
        <f t="shared" ref="B327:B329" si="399">"川南支社"</f>
        <v>川南支社</v>
      </c>
      <c r="C327" s="2" t="str">
        <f t="shared" ref="C327:C329" si="400">"PR 昆明南亚第一城1(CLC5)"</f>
        <v>PR 昆明南亚第一城1(CLC5)</v>
      </c>
      <c r="D327" s="2" t="str">
        <f t="shared" si="361"/>
        <v>2026</v>
      </c>
      <c r="E327" s="2" t="str">
        <f t="shared" si="362"/>
        <v>夏</v>
      </c>
      <c r="F327" s="2" t="str">
        <f t="shared" si="363"/>
        <v>一般毛衣(SWEATER)(KW)</v>
      </c>
      <c r="H327" s="2" t="str">
        <f t="shared" si="364"/>
        <v>PRKWG2303M</v>
      </c>
      <c r="I327" s="2" t="str">
        <f t="shared" si="395"/>
        <v>(99)MIX99</v>
      </c>
      <c r="J327" s="2" t="str">
        <f>"160"</f>
        <v>160</v>
      </c>
      <c r="K327" s="2" t="str">
        <f>"PRKWG2303M99160"</f>
        <v>PRKWG2303M99160</v>
      </c>
      <c r="L327" s="2" t="str">
        <f t="shared" si="365"/>
        <v>899</v>
      </c>
      <c r="M327" s="1">
        <v>2</v>
      </c>
      <c r="N327" s="1">
        <v>1798</v>
      </c>
      <c r="O327" s="1">
        <v>2</v>
      </c>
      <c r="P327" s="1">
        <v>1798</v>
      </c>
      <c r="Q327" s="1">
        <v>0</v>
      </c>
      <c r="R327" s="1">
        <v>0</v>
      </c>
      <c r="S327" s="1">
        <v>0</v>
      </c>
      <c r="T327" s="1">
        <v>0</v>
      </c>
      <c r="U327" s="1">
        <v>2</v>
      </c>
      <c r="V327" s="1">
        <v>1798</v>
      </c>
    </row>
    <row r="328" spans="1:22" x14ac:dyDescent="0.15">
      <c r="A328" s="2" t="str">
        <f t="shared" si="398"/>
        <v>CLC5</v>
      </c>
      <c r="B328" s="2" t="str">
        <f t="shared" si="399"/>
        <v>川南支社</v>
      </c>
      <c r="C328" s="2" t="str">
        <f t="shared" si="400"/>
        <v>PR 昆明南亚第一城1(CLC5)</v>
      </c>
      <c r="D328" s="2" t="str">
        <f t="shared" si="361"/>
        <v>2026</v>
      </c>
      <c r="E328" s="2" t="str">
        <f t="shared" si="362"/>
        <v>夏</v>
      </c>
      <c r="F328" s="2" t="str">
        <f t="shared" si="363"/>
        <v>一般毛衣(SWEATER)(KW)</v>
      </c>
      <c r="H328" s="2" t="str">
        <f t="shared" si="364"/>
        <v>PRKWG2303M</v>
      </c>
      <c r="I328" s="2" t="str">
        <f t="shared" si="395"/>
        <v>(99)MIX99</v>
      </c>
      <c r="J328" s="2" t="str">
        <f>"165"</f>
        <v>165</v>
      </c>
      <c r="K328" s="2" t="str">
        <f>"PRKWG2303M99165"</f>
        <v>PRKWG2303M99165</v>
      </c>
      <c r="L328" s="2" t="str">
        <f t="shared" si="365"/>
        <v>899</v>
      </c>
      <c r="M328" s="1">
        <v>1</v>
      </c>
      <c r="N328" s="1">
        <v>899</v>
      </c>
      <c r="O328" s="1">
        <v>1</v>
      </c>
      <c r="P328" s="1">
        <v>899</v>
      </c>
      <c r="Q328" s="1">
        <v>0</v>
      </c>
      <c r="R328" s="1">
        <v>0</v>
      </c>
      <c r="S328" s="1">
        <v>0</v>
      </c>
      <c r="T328" s="1">
        <v>0</v>
      </c>
      <c r="U328" s="1">
        <v>1</v>
      </c>
      <c r="V328" s="1">
        <v>899</v>
      </c>
    </row>
    <row r="329" spans="1:22" x14ac:dyDescent="0.15">
      <c r="A329" s="2" t="str">
        <f t="shared" si="398"/>
        <v>CLC5</v>
      </c>
      <c r="B329" s="2" t="str">
        <f t="shared" si="399"/>
        <v>川南支社</v>
      </c>
      <c r="C329" s="2" t="str">
        <f t="shared" si="400"/>
        <v>PR 昆明南亚第一城1(CLC5)</v>
      </c>
      <c r="D329" s="2" t="str">
        <f t="shared" si="361"/>
        <v>2026</v>
      </c>
      <c r="E329" s="2" t="str">
        <f t="shared" si="362"/>
        <v>夏</v>
      </c>
      <c r="F329" s="2" t="str">
        <f t="shared" si="363"/>
        <v>一般毛衣(SWEATER)(KW)</v>
      </c>
      <c r="H329" s="2" t="str">
        <f t="shared" si="364"/>
        <v>PRKWG2303M</v>
      </c>
      <c r="I329" s="2" t="str">
        <f t="shared" si="395"/>
        <v>(99)MIX99</v>
      </c>
      <c r="J329" s="2" t="str">
        <f>"170"</f>
        <v>170</v>
      </c>
      <c r="K329" s="2" t="str">
        <f>"PRKWG2303M99170"</f>
        <v>PRKWG2303M99170</v>
      </c>
      <c r="L329" s="2" t="str">
        <f t="shared" si="365"/>
        <v>899</v>
      </c>
      <c r="M329" s="1">
        <v>1</v>
      </c>
      <c r="N329" s="1">
        <v>899</v>
      </c>
      <c r="O329" s="1">
        <v>1</v>
      </c>
      <c r="P329" s="1">
        <v>899</v>
      </c>
      <c r="Q329" s="1">
        <v>0</v>
      </c>
      <c r="R329" s="1">
        <v>0</v>
      </c>
      <c r="S329" s="1">
        <v>0</v>
      </c>
      <c r="T329" s="1">
        <v>0</v>
      </c>
      <c r="U329" s="1">
        <v>1</v>
      </c>
      <c r="V329" s="1">
        <v>899</v>
      </c>
    </row>
    <row r="330" spans="1:22" x14ac:dyDescent="0.15">
      <c r="A330" s="2" t="str">
        <f t="shared" ref="A330:A332" si="401">"CLEG"</f>
        <v>CLEG</v>
      </c>
      <c r="B330" s="2" t="str">
        <f t="shared" ref="B330:B332" si="402">"华中支社"</f>
        <v>华中支社</v>
      </c>
      <c r="C330" s="2" t="str">
        <f t="shared" ref="C330:C332" si="403">"PR 岳阳步步高(NEW)(CLEG)"</f>
        <v>PR 岳阳步步高(NEW)(CLEG)</v>
      </c>
      <c r="D330" s="2" t="str">
        <f t="shared" si="361"/>
        <v>2026</v>
      </c>
      <c r="E330" s="2" t="str">
        <f t="shared" si="362"/>
        <v>夏</v>
      </c>
      <c r="F330" s="2" t="str">
        <f t="shared" si="363"/>
        <v>一般毛衣(SWEATER)(KW)</v>
      </c>
      <c r="H330" s="2" t="str">
        <f t="shared" si="364"/>
        <v>PRKWG2303M</v>
      </c>
      <c r="I330" s="2" t="str">
        <f t="shared" si="395"/>
        <v>(99)MIX99</v>
      </c>
      <c r="J330" s="2" t="str">
        <f>"160"</f>
        <v>160</v>
      </c>
      <c r="K330" s="2" t="str">
        <f>"PRKWG2303M99160"</f>
        <v>PRKWG2303M99160</v>
      </c>
      <c r="L330" s="2" t="str">
        <f t="shared" si="365"/>
        <v>899</v>
      </c>
      <c r="M330" s="1">
        <v>2</v>
      </c>
      <c r="N330" s="1">
        <v>1798</v>
      </c>
      <c r="O330" s="1">
        <v>2</v>
      </c>
      <c r="P330" s="1">
        <v>1798</v>
      </c>
      <c r="Q330" s="1">
        <v>0</v>
      </c>
      <c r="R330" s="1">
        <v>0</v>
      </c>
      <c r="S330" s="1">
        <v>0</v>
      </c>
      <c r="T330" s="1">
        <v>0</v>
      </c>
      <c r="U330" s="1">
        <v>2</v>
      </c>
      <c r="V330" s="1">
        <v>1798</v>
      </c>
    </row>
    <row r="331" spans="1:22" x14ac:dyDescent="0.15">
      <c r="A331" s="2" t="str">
        <f t="shared" si="401"/>
        <v>CLEG</v>
      </c>
      <c r="B331" s="2" t="str">
        <f t="shared" si="402"/>
        <v>华中支社</v>
      </c>
      <c r="C331" s="2" t="str">
        <f t="shared" si="403"/>
        <v>PR 岳阳步步高(NEW)(CLEG)</v>
      </c>
      <c r="D331" s="2" t="str">
        <f t="shared" si="361"/>
        <v>2026</v>
      </c>
      <c r="E331" s="2" t="str">
        <f t="shared" si="362"/>
        <v>夏</v>
      </c>
      <c r="F331" s="2" t="str">
        <f t="shared" si="363"/>
        <v>一般毛衣(SWEATER)(KW)</v>
      </c>
      <c r="H331" s="2" t="str">
        <f t="shared" si="364"/>
        <v>PRKWG2303M</v>
      </c>
      <c r="I331" s="2" t="str">
        <f t="shared" si="395"/>
        <v>(99)MIX99</v>
      </c>
      <c r="J331" s="2" t="str">
        <f>"165"</f>
        <v>165</v>
      </c>
      <c r="K331" s="2" t="str">
        <f>"PRKWG2303M99165"</f>
        <v>PRKWG2303M99165</v>
      </c>
      <c r="L331" s="2" t="str">
        <f t="shared" si="365"/>
        <v>899</v>
      </c>
      <c r="M331" s="1">
        <v>1</v>
      </c>
      <c r="N331" s="1">
        <v>899</v>
      </c>
      <c r="O331" s="1">
        <v>1</v>
      </c>
      <c r="P331" s="1">
        <v>899</v>
      </c>
      <c r="Q331" s="1">
        <v>0</v>
      </c>
      <c r="R331" s="1">
        <v>0</v>
      </c>
      <c r="S331" s="1">
        <v>0</v>
      </c>
      <c r="T331" s="1">
        <v>0</v>
      </c>
      <c r="U331" s="1">
        <v>1</v>
      </c>
      <c r="V331" s="1">
        <v>899</v>
      </c>
    </row>
    <row r="332" spans="1:22" x14ac:dyDescent="0.15">
      <c r="A332" s="2" t="str">
        <f t="shared" si="401"/>
        <v>CLEG</v>
      </c>
      <c r="B332" s="2" t="str">
        <f t="shared" si="402"/>
        <v>华中支社</v>
      </c>
      <c r="C332" s="2" t="str">
        <f t="shared" si="403"/>
        <v>PR 岳阳步步高(NEW)(CLEG)</v>
      </c>
      <c r="D332" s="2" t="str">
        <f t="shared" si="361"/>
        <v>2026</v>
      </c>
      <c r="E332" s="2" t="str">
        <f t="shared" si="362"/>
        <v>夏</v>
      </c>
      <c r="F332" s="2" t="str">
        <f t="shared" si="363"/>
        <v>一般毛衣(SWEATER)(KW)</v>
      </c>
      <c r="H332" s="2" t="str">
        <f t="shared" si="364"/>
        <v>PRKWG2303M</v>
      </c>
      <c r="I332" s="2" t="str">
        <f t="shared" si="395"/>
        <v>(99)MIX99</v>
      </c>
      <c r="J332" s="2" t="str">
        <f>"170"</f>
        <v>170</v>
      </c>
      <c r="K332" s="2" t="str">
        <f>"PRKWG2303M99170"</f>
        <v>PRKWG2303M99170</v>
      </c>
      <c r="L332" s="2" t="str">
        <f t="shared" si="365"/>
        <v>899</v>
      </c>
      <c r="M332" s="1">
        <v>1</v>
      </c>
      <c r="N332" s="1">
        <v>899</v>
      </c>
      <c r="O332" s="1">
        <v>1</v>
      </c>
      <c r="P332" s="1">
        <v>899</v>
      </c>
      <c r="Q332" s="1">
        <v>0</v>
      </c>
      <c r="R332" s="1">
        <v>0</v>
      </c>
      <c r="S332" s="1">
        <v>0</v>
      </c>
      <c r="T332" s="1">
        <v>0</v>
      </c>
      <c r="U332" s="1">
        <v>1</v>
      </c>
      <c r="V332" s="1">
        <v>899</v>
      </c>
    </row>
    <row r="333" spans="1:22" x14ac:dyDescent="0.15">
      <c r="A333" s="2" t="str">
        <f t="shared" ref="A333:A335" si="404">"CLEO"</f>
        <v>CLEO</v>
      </c>
      <c r="B333" s="2" t="str">
        <f t="shared" ref="B333:B335" si="405">"川西支社"</f>
        <v>川西支社</v>
      </c>
      <c r="C333" s="2" t="str">
        <f t="shared" ref="C333:C335" si="406">"PR 成都环贸ICD1(CLEO)"</f>
        <v>PR 成都环贸ICD1(CLEO)</v>
      </c>
      <c r="D333" s="2" t="str">
        <f t="shared" si="361"/>
        <v>2026</v>
      </c>
      <c r="E333" s="2" t="str">
        <f t="shared" si="362"/>
        <v>夏</v>
      </c>
      <c r="F333" s="2" t="str">
        <f t="shared" si="363"/>
        <v>一般毛衣(SWEATER)(KW)</v>
      </c>
      <c r="H333" s="2" t="str">
        <f t="shared" si="364"/>
        <v>PRKWG2303M</v>
      </c>
      <c r="I333" s="2" t="str">
        <f t="shared" si="395"/>
        <v>(99)MIX99</v>
      </c>
      <c r="J333" s="2" t="str">
        <f>"160"</f>
        <v>160</v>
      </c>
      <c r="K333" s="2" t="str">
        <f>"PRKWG2303M99160"</f>
        <v>PRKWG2303M99160</v>
      </c>
      <c r="L333" s="2" t="str">
        <f t="shared" si="365"/>
        <v>899</v>
      </c>
      <c r="M333" s="1">
        <v>2</v>
      </c>
      <c r="N333" s="1">
        <v>1798</v>
      </c>
      <c r="O333" s="1">
        <v>2</v>
      </c>
      <c r="P333" s="1">
        <v>1798</v>
      </c>
      <c r="Q333" s="1">
        <v>0</v>
      </c>
      <c r="R333" s="1">
        <v>0</v>
      </c>
      <c r="S333" s="1">
        <v>0</v>
      </c>
      <c r="T333" s="1">
        <v>0</v>
      </c>
      <c r="U333" s="1">
        <v>2</v>
      </c>
      <c r="V333" s="1">
        <v>1798</v>
      </c>
    </row>
    <row r="334" spans="1:22" x14ac:dyDescent="0.15">
      <c r="A334" s="2" t="str">
        <f t="shared" si="404"/>
        <v>CLEO</v>
      </c>
      <c r="B334" s="2" t="str">
        <f t="shared" si="405"/>
        <v>川西支社</v>
      </c>
      <c r="C334" s="2" t="str">
        <f t="shared" si="406"/>
        <v>PR 成都环贸ICD1(CLEO)</v>
      </c>
      <c r="D334" s="2" t="str">
        <f t="shared" si="361"/>
        <v>2026</v>
      </c>
      <c r="E334" s="2" t="str">
        <f t="shared" si="362"/>
        <v>夏</v>
      </c>
      <c r="F334" s="2" t="str">
        <f t="shared" si="363"/>
        <v>一般毛衣(SWEATER)(KW)</v>
      </c>
      <c r="H334" s="2" t="str">
        <f t="shared" si="364"/>
        <v>PRKWG2303M</v>
      </c>
      <c r="I334" s="2" t="str">
        <f t="shared" si="395"/>
        <v>(99)MIX99</v>
      </c>
      <c r="J334" s="2" t="str">
        <f>"165"</f>
        <v>165</v>
      </c>
      <c r="K334" s="2" t="str">
        <f>"PRKWG2303M99165"</f>
        <v>PRKWG2303M99165</v>
      </c>
      <c r="L334" s="2" t="str">
        <f t="shared" si="365"/>
        <v>899</v>
      </c>
      <c r="M334" s="1">
        <v>3</v>
      </c>
      <c r="N334" s="1">
        <v>2697</v>
      </c>
      <c r="O334" s="1">
        <v>3</v>
      </c>
      <c r="P334" s="1">
        <v>2697</v>
      </c>
      <c r="Q334" s="1">
        <v>0</v>
      </c>
      <c r="R334" s="1">
        <v>0</v>
      </c>
      <c r="S334" s="1">
        <v>0</v>
      </c>
      <c r="T334" s="1">
        <v>0</v>
      </c>
      <c r="U334" s="1">
        <v>3</v>
      </c>
      <c r="V334" s="1">
        <v>2697</v>
      </c>
    </row>
    <row r="335" spans="1:22" x14ac:dyDescent="0.15">
      <c r="A335" s="2" t="str">
        <f t="shared" si="404"/>
        <v>CLEO</v>
      </c>
      <c r="B335" s="2" t="str">
        <f t="shared" si="405"/>
        <v>川西支社</v>
      </c>
      <c r="C335" s="2" t="str">
        <f t="shared" si="406"/>
        <v>PR 成都环贸ICD1(CLEO)</v>
      </c>
      <c r="D335" s="2" t="str">
        <f t="shared" si="361"/>
        <v>2026</v>
      </c>
      <c r="E335" s="2" t="str">
        <f t="shared" si="362"/>
        <v>夏</v>
      </c>
      <c r="F335" s="2" t="str">
        <f t="shared" si="363"/>
        <v>一般毛衣(SWEATER)(KW)</v>
      </c>
      <c r="H335" s="2" t="str">
        <f t="shared" si="364"/>
        <v>PRKWG2303M</v>
      </c>
      <c r="I335" s="2" t="str">
        <f t="shared" si="395"/>
        <v>(99)MIX99</v>
      </c>
      <c r="J335" s="2" t="str">
        <f>"170"</f>
        <v>170</v>
      </c>
      <c r="K335" s="2" t="str">
        <f>"PRKWG2303M99170"</f>
        <v>PRKWG2303M99170</v>
      </c>
      <c r="L335" s="2" t="str">
        <f t="shared" si="365"/>
        <v>899</v>
      </c>
      <c r="M335" s="1">
        <v>1</v>
      </c>
      <c r="N335" s="1">
        <v>899</v>
      </c>
      <c r="O335" s="1">
        <v>1</v>
      </c>
      <c r="P335" s="1">
        <v>899</v>
      </c>
      <c r="Q335" s="1">
        <v>0</v>
      </c>
      <c r="R335" s="1">
        <v>0</v>
      </c>
      <c r="S335" s="1">
        <v>0</v>
      </c>
      <c r="T335" s="1">
        <v>0</v>
      </c>
      <c r="U335" s="1">
        <v>1</v>
      </c>
      <c r="V335" s="1">
        <v>899</v>
      </c>
    </row>
    <row r="336" spans="1:22" x14ac:dyDescent="0.15">
      <c r="A336" s="2" t="str">
        <f t="shared" ref="A336:A338" si="407">"CLGW"</f>
        <v>CLGW</v>
      </c>
      <c r="B336" s="2" t="str">
        <f t="shared" ref="B336:B338" si="408">"西北支社"</f>
        <v>西北支社</v>
      </c>
      <c r="C336" s="2" t="str">
        <f t="shared" ref="C336:C338" si="409">"PR 兰州杉杉奥莱(CLGW)"</f>
        <v>PR 兰州杉杉奥莱(CLGW)</v>
      </c>
      <c r="D336" s="2" t="str">
        <f t="shared" si="361"/>
        <v>2026</v>
      </c>
      <c r="E336" s="2" t="str">
        <f t="shared" si="362"/>
        <v>夏</v>
      </c>
      <c r="F336" s="2" t="str">
        <f t="shared" si="363"/>
        <v>一般毛衣(SWEATER)(KW)</v>
      </c>
      <c r="H336" s="2" t="str">
        <f t="shared" si="364"/>
        <v>PRKWG2303M</v>
      </c>
      <c r="I336" s="2" t="str">
        <f t="shared" si="395"/>
        <v>(99)MIX99</v>
      </c>
      <c r="J336" s="2" t="str">
        <f t="shared" ref="J336:J339" si="410">"160"</f>
        <v>160</v>
      </c>
      <c r="K336" s="2" t="str">
        <f>"PRKWG2303M99160"</f>
        <v>PRKWG2303M99160</v>
      </c>
      <c r="L336" s="2" t="str">
        <f t="shared" si="365"/>
        <v>899</v>
      </c>
      <c r="M336" s="1">
        <v>2</v>
      </c>
      <c r="N336" s="1">
        <v>1798</v>
      </c>
      <c r="O336" s="1">
        <v>2</v>
      </c>
      <c r="P336" s="1">
        <v>1798</v>
      </c>
      <c r="Q336" s="1">
        <v>0</v>
      </c>
      <c r="R336" s="1">
        <v>0</v>
      </c>
      <c r="S336" s="1">
        <v>1</v>
      </c>
      <c r="T336" s="1">
        <v>899</v>
      </c>
      <c r="U336" s="1">
        <v>3</v>
      </c>
      <c r="V336" s="1">
        <v>2697</v>
      </c>
    </row>
    <row r="337" spans="1:22" x14ac:dyDescent="0.15">
      <c r="A337" s="2" t="str">
        <f t="shared" si="407"/>
        <v>CLGW</v>
      </c>
      <c r="B337" s="2" t="str">
        <f t="shared" si="408"/>
        <v>西北支社</v>
      </c>
      <c r="C337" s="2" t="str">
        <f t="shared" si="409"/>
        <v>PR 兰州杉杉奥莱(CLGW)</v>
      </c>
      <c r="D337" s="2" t="str">
        <f t="shared" si="361"/>
        <v>2026</v>
      </c>
      <c r="E337" s="2" t="str">
        <f t="shared" si="362"/>
        <v>夏</v>
      </c>
      <c r="F337" s="2" t="str">
        <f t="shared" si="363"/>
        <v>一般毛衣(SWEATER)(KW)</v>
      </c>
      <c r="H337" s="2" t="str">
        <f t="shared" si="364"/>
        <v>PRKWG2303M</v>
      </c>
      <c r="I337" s="2" t="str">
        <f t="shared" si="395"/>
        <v>(99)MIX99</v>
      </c>
      <c r="J337" s="2" t="str">
        <f t="shared" ref="J337:J340" si="411">"165"</f>
        <v>165</v>
      </c>
      <c r="K337" s="2" t="str">
        <f>"PRKWG2303M99165"</f>
        <v>PRKWG2303M99165</v>
      </c>
      <c r="L337" s="2" t="str">
        <f t="shared" si="365"/>
        <v>899</v>
      </c>
      <c r="M337" s="1">
        <v>5</v>
      </c>
      <c r="N337" s="1">
        <v>4495</v>
      </c>
      <c r="O337" s="1">
        <v>5</v>
      </c>
      <c r="P337" s="1">
        <v>4495</v>
      </c>
      <c r="Q337" s="1">
        <v>0</v>
      </c>
      <c r="R337" s="1">
        <v>0</v>
      </c>
      <c r="S337" s="1">
        <v>0</v>
      </c>
      <c r="T337" s="1">
        <v>0</v>
      </c>
      <c r="U337" s="1">
        <v>5</v>
      </c>
      <c r="V337" s="1">
        <v>4495</v>
      </c>
    </row>
    <row r="338" spans="1:22" x14ac:dyDescent="0.15">
      <c r="A338" s="2" t="str">
        <f t="shared" si="407"/>
        <v>CLGW</v>
      </c>
      <c r="B338" s="2" t="str">
        <f t="shared" si="408"/>
        <v>西北支社</v>
      </c>
      <c r="C338" s="2" t="str">
        <f t="shared" si="409"/>
        <v>PR 兰州杉杉奥莱(CLGW)</v>
      </c>
      <c r="D338" s="2" t="str">
        <f t="shared" si="361"/>
        <v>2026</v>
      </c>
      <c r="E338" s="2" t="str">
        <f t="shared" si="362"/>
        <v>夏</v>
      </c>
      <c r="F338" s="2" t="str">
        <f t="shared" si="363"/>
        <v>一般毛衣(SWEATER)(KW)</v>
      </c>
      <c r="H338" s="2" t="str">
        <f t="shared" si="364"/>
        <v>PRKWG2303M</v>
      </c>
      <c r="I338" s="2" t="str">
        <f t="shared" si="395"/>
        <v>(99)MIX99</v>
      </c>
      <c r="J338" s="2" t="str">
        <f>"170"</f>
        <v>170</v>
      </c>
      <c r="K338" s="2" t="str">
        <f>"PRKWG2303M99170"</f>
        <v>PRKWG2303M99170</v>
      </c>
      <c r="L338" s="2" t="str">
        <f t="shared" si="365"/>
        <v>899</v>
      </c>
      <c r="M338" s="1">
        <v>1</v>
      </c>
      <c r="N338" s="1">
        <v>899</v>
      </c>
      <c r="O338" s="1">
        <v>1</v>
      </c>
      <c r="P338" s="1">
        <v>899</v>
      </c>
      <c r="Q338" s="1">
        <v>0</v>
      </c>
      <c r="R338" s="1">
        <v>0</v>
      </c>
      <c r="S338" s="1">
        <v>0</v>
      </c>
      <c r="T338" s="1">
        <v>0</v>
      </c>
      <c r="U338" s="1">
        <v>1</v>
      </c>
      <c r="V338" s="1">
        <v>899</v>
      </c>
    </row>
    <row r="339" spans="1:22" x14ac:dyDescent="0.15">
      <c r="A339" s="2" t="str">
        <f>"CLLA"</f>
        <v>CLLA</v>
      </c>
      <c r="B339" s="2" t="str">
        <f>"川西支社"</f>
        <v>川西支社</v>
      </c>
      <c r="C339" s="2" t="str">
        <f>"PR 成都龙湖金楠天街1(CLLA)"</f>
        <v>PR 成都龙湖金楠天街1(CLLA)</v>
      </c>
      <c r="D339" s="2" t="str">
        <f t="shared" si="361"/>
        <v>2026</v>
      </c>
      <c r="E339" s="2" t="str">
        <f t="shared" si="362"/>
        <v>夏</v>
      </c>
      <c r="F339" s="2" t="str">
        <f t="shared" si="363"/>
        <v>一般毛衣(SWEATER)(KW)</v>
      </c>
      <c r="H339" s="2" t="str">
        <f t="shared" si="364"/>
        <v>PRKWG2303M</v>
      </c>
      <c r="I339" s="2" t="str">
        <f t="shared" si="395"/>
        <v>(99)MIX99</v>
      </c>
      <c r="J339" s="2" t="str">
        <f t="shared" si="410"/>
        <v>160</v>
      </c>
      <c r="K339" s="2" t="str">
        <f>"PRKWG2303M99160"</f>
        <v>PRKWG2303M99160</v>
      </c>
      <c r="L339" s="2" t="str">
        <f t="shared" si="365"/>
        <v>899</v>
      </c>
      <c r="M339" s="1">
        <v>1</v>
      </c>
      <c r="N339" s="1">
        <v>899</v>
      </c>
      <c r="O339" s="1">
        <v>1</v>
      </c>
      <c r="P339" s="1">
        <v>899</v>
      </c>
      <c r="Q339" s="1">
        <v>0</v>
      </c>
      <c r="R339" s="1">
        <v>0</v>
      </c>
      <c r="S339" s="1">
        <v>4</v>
      </c>
      <c r="T339" s="1">
        <v>3596</v>
      </c>
      <c r="U339" s="1">
        <v>5</v>
      </c>
      <c r="V339" s="1">
        <v>4495</v>
      </c>
    </row>
    <row r="340" spans="1:22" x14ac:dyDescent="0.15">
      <c r="A340" s="2" t="str">
        <f>"CLLA"</f>
        <v>CLLA</v>
      </c>
      <c r="B340" s="2" t="str">
        <f>"川西支社"</f>
        <v>川西支社</v>
      </c>
      <c r="C340" s="2" t="str">
        <f>"PR 成都龙湖金楠天街1(CLLA)"</f>
        <v>PR 成都龙湖金楠天街1(CLLA)</v>
      </c>
      <c r="D340" s="2" t="str">
        <f t="shared" si="361"/>
        <v>2026</v>
      </c>
      <c r="E340" s="2" t="str">
        <f t="shared" si="362"/>
        <v>夏</v>
      </c>
      <c r="F340" s="2" t="str">
        <f t="shared" si="363"/>
        <v>一般毛衣(SWEATER)(KW)</v>
      </c>
      <c r="H340" s="2" t="str">
        <f t="shared" si="364"/>
        <v>PRKWG2303M</v>
      </c>
      <c r="I340" s="2" t="str">
        <f t="shared" si="395"/>
        <v>(99)MIX99</v>
      </c>
      <c r="J340" s="2" t="str">
        <f t="shared" si="411"/>
        <v>165</v>
      </c>
      <c r="K340" s="2" t="str">
        <f>"PRKWG2303M99165"</f>
        <v>PRKWG2303M99165</v>
      </c>
      <c r="L340" s="2" t="str">
        <f t="shared" si="365"/>
        <v>899</v>
      </c>
      <c r="M340" s="1">
        <v>4</v>
      </c>
      <c r="N340" s="1">
        <v>3596</v>
      </c>
      <c r="O340" s="1">
        <v>4</v>
      </c>
      <c r="P340" s="1">
        <v>3596</v>
      </c>
      <c r="Q340" s="1">
        <v>0</v>
      </c>
      <c r="R340" s="1">
        <v>0</v>
      </c>
      <c r="S340" s="1">
        <v>0</v>
      </c>
      <c r="T340" s="1">
        <v>0</v>
      </c>
      <c r="U340" s="1">
        <v>4</v>
      </c>
      <c r="V340" s="1">
        <v>3596</v>
      </c>
    </row>
    <row r="341" spans="1:22" x14ac:dyDescent="0.15">
      <c r="A341" s="2" t="str">
        <f t="shared" ref="A341:A343" si="412">"CLO9"</f>
        <v>CLO9</v>
      </c>
      <c r="B341" s="2" t="str">
        <f t="shared" ref="B341:B343" si="413">"华东支社"</f>
        <v>华东支社</v>
      </c>
      <c r="C341" s="2" t="str">
        <f t="shared" ref="C341:C343" si="414">"PR 南京新街口百货(CLO9)"</f>
        <v>PR 南京新街口百货(CLO9)</v>
      </c>
      <c r="D341" s="2" t="str">
        <f t="shared" si="361"/>
        <v>2026</v>
      </c>
      <c r="E341" s="2" t="str">
        <f t="shared" si="362"/>
        <v>夏</v>
      </c>
      <c r="F341" s="2" t="str">
        <f t="shared" si="363"/>
        <v>一般毛衣(SWEATER)(KW)</v>
      </c>
      <c r="H341" s="2" t="str">
        <f t="shared" si="364"/>
        <v>PRKWG2303M</v>
      </c>
      <c r="I341" s="2" t="str">
        <f t="shared" ref="I341:I351" si="415">"(99)MIX99"</f>
        <v>(99)MIX99</v>
      </c>
      <c r="J341" s="2" t="str">
        <f>"160"</f>
        <v>160</v>
      </c>
      <c r="K341" s="2" t="str">
        <f>"PRKWG2303M99160"</f>
        <v>PRKWG2303M99160</v>
      </c>
      <c r="L341" s="2" t="str">
        <f t="shared" si="365"/>
        <v>899</v>
      </c>
      <c r="M341" s="1">
        <v>2</v>
      </c>
      <c r="N341" s="1">
        <v>1798</v>
      </c>
      <c r="O341" s="1">
        <v>2</v>
      </c>
      <c r="P341" s="1">
        <v>1798</v>
      </c>
      <c r="Q341" s="1">
        <v>0</v>
      </c>
      <c r="R341" s="1">
        <v>0</v>
      </c>
      <c r="S341" s="1">
        <v>0</v>
      </c>
      <c r="T341" s="1">
        <v>0</v>
      </c>
      <c r="U341" s="1">
        <v>2</v>
      </c>
      <c r="V341" s="1">
        <v>1798</v>
      </c>
    </row>
    <row r="342" spans="1:22" x14ac:dyDescent="0.15">
      <c r="A342" s="2" t="str">
        <f t="shared" si="412"/>
        <v>CLO9</v>
      </c>
      <c r="B342" s="2" t="str">
        <f t="shared" si="413"/>
        <v>华东支社</v>
      </c>
      <c r="C342" s="2" t="str">
        <f t="shared" si="414"/>
        <v>PR 南京新街口百货(CLO9)</v>
      </c>
      <c r="D342" s="2" t="str">
        <f t="shared" si="361"/>
        <v>2026</v>
      </c>
      <c r="E342" s="2" t="str">
        <f t="shared" si="362"/>
        <v>夏</v>
      </c>
      <c r="F342" s="2" t="str">
        <f t="shared" si="363"/>
        <v>一般毛衣(SWEATER)(KW)</v>
      </c>
      <c r="H342" s="2" t="str">
        <f t="shared" si="364"/>
        <v>PRKWG2303M</v>
      </c>
      <c r="I342" s="2" t="str">
        <f t="shared" si="415"/>
        <v>(99)MIX99</v>
      </c>
      <c r="J342" s="2" t="str">
        <f>"165"</f>
        <v>165</v>
      </c>
      <c r="K342" s="2" t="str">
        <f>"PRKWG2303M99165"</f>
        <v>PRKWG2303M99165</v>
      </c>
      <c r="L342" s="2" t="str">
        <f t="shared" si="365"/>
        <v>899</v>
      </c>
      <c r="M342" s="1">
        <v>2</v>
      </c>
      <c r="N342" s="1">
        <v>1798</v>
      </c>
      <c r="O342" s="1">
        <v>2</v>
      </c>
      <c r="P342" s="1">
        <v>1798</v>
      </c>
      <c r="Q342" s="1">
        <v>0</v>
      </c>
      <c r="R342" s="1">
        <v>0</v>
      </c>
      <c r="S342" s="1">
        <v>0</v>
      </c>
      <c r="T342" s="1">
        <v>0</v>
      </c>
      <c r="U342" s="1">
        <v>2</v>
      </c>
      <c r="V342" s="1">
        <v>1798</v>
      </c>
    </row>
    <row r="343" spans="1:22" x14ac:dyDescent="0.15">
      <c r="A343" s="2" t="str">
        <f t="shared" si="412"/>
        <v>CLO9</v>
      </c>
      <c r="B343" s="2" t="str">
        <f t="shared" si="413"/>
        <v>华东支社</v>
      </c>
      <c r="C343" s="2" t="str">
        <f t="shared" si="414"/>
        <v>PR 南京新街口百货(CLO9)</v>
      </c>
      <c r="D343" s="2" t="str">
        <f t="shared" si="361"/>
        <v>2026</v>
      </c>
      <c r="E343" s="2" t="str">
        <f t="shared" si="362"/>
        <v>夏</v>
      </c>
      <c r="F343" s="2" t="str">
        <f t="shared" si="363"/>
        <v>一般毛衣(SWEATER)(KW)</v>
      </c>
      <c r="H343" s="2" t="str">
        <f t="shared" si="364"/>
        <v>PRKWG2303M</v>
      </c>
      <c r="I343" s="2" t="str">
        <f t="shared" si="415"/>
        <v>(99)MIX99</v>
      </c>
      <c r="J343" s="2" t="str">
        <f>"170"</f>
        <v>170</v>
      </c>
      <c r="K343" s="2" t="str">
        <f>"PRKWG2303M99170"</f>
        <v>PRKWG2303M99170</v>
      </c>
      <c r="L343" s="2" t="str">
        <f t="shared" si="365"/>
        <v>899</v>
      </c>
      <c r="M343" s="1">
        <v>1</v>
      </c>
      <c r="N343" s="1">
        <v>899</v>
      </c>
      <c r="O343" s="1">
        <v>1</v>
      </c>
      <c r="P343" s="1">
        <v>899</v>
      </c>
      <c r="Q343" s="1">
        <v>0</v>
      </c>
      <c r="R343" s="1">
        <v>0</v>
      </c>
      <c r="S343" s="1">
        <v>0</v>
      </c>
      <c r="T343" s="1">
        <v>0</v>
      </c>
      <c r="U343" s="1">
        <v>1</v>
      </c>
      <c r="V343" s="1">
        <v>899</v>
      </c>
    </row>
    <row r="344" spans="1:22" x14ac:dyDescent="0.15">
      <c r="A344" s="2" t="str">
        <f t="shared" ref="A344:A346" si="416">"CLOD"</f>
        <v>CLOD</v>
      </c>
      <c r="B344" s="2" t="str">
        <f t="shared" ref="B344:B346" si="417">"川西支社"</f>
        <v>川西支社</v>
      </c>
      <c r="C344" s="2" t="str">
        <f t="shared" ref="C344:C346" si="418">"PR 成都天府和悦1(CLOD)"</f>
        <v>PR 成都天府和悦1(CLOD)</v>
      </c>
      <c r="D344" s="2" t="str">
        <f t="shared" si="361"/>
        <v>2026</v>
      </c>
      <c r="E344" s="2" t="str">
        <f t="shared" si="362"/>
        <v>夏</v>
      </c>
      <c r="F344" s="2" t="str">
        <f t="shared" si="363"/>
        <v>一般毛衣(SWEATER)(KW)</v>
      </c>
      <c r="H344" s="2" t="str">
        <f t="shared" si="364"/>
        <v>PRKWG2303M</v>
      </c>
      <c r="I344" s="2" t="str">
        <f t="shared" si="415"/>
        <v>(99)MIX99</v>
      </c>
      <c r="J344" s="2" t="str">
        <f>"160"</f>
        <v>160</v>
      </c>
      <c r="K344" s="2" t="str">
        <f>"PRKWG2303M99160"</f>
        <v>PRKWG2303M99160</v>
      </c>
      <c r="L344" s="2" t="str">
        <f t="shared" si="365"/>
        <v>899</v>
      </c>
      <c r="M344" s="1">
        <v>3</v>
      </c>
      <c r="N344" s="1">
        <v>2697</v>
      </c>
      <c r="O344" s="1">
        <v>3</v>
      </c>
      <c r="P344" s="1">
        <v>2697</v>
      </c>
      <c r="Q344" s="1">
        <v>0</v>
      </c>
      <c r="R344" s="1">
        <v>0</v>
      </c>
      <c r="S344" s="1">
        <v>0</v>
      </c>
      <c r="T344" s="1">
        <v>0</v>
      </c>
      <c r="U344" s="1">
        <v>3</v>
      </c>
      <c r="V344" s="1">
        <v>2697</v>
      </c>
    </row>
    <row r="345" spans="1:22" x14ac:dyDescent="0.15">
      <c r="A345" s="2" t="str">
        <f t="shared" si="416"/>
        <v>CLOD</v>
      </c>
      <c r="B345" s="2" t="str">
        <f t="shared" si="417"/>
        <v>川西支社</v>
      </c>
      <c r="C345" s="2" t="str">
        <f t="shared" si="418"/>
        <v>PR 成都天府和悦1(CLOD)</v>
      </c>
      <c r="D345" s="2" t="str">
        <f t="shared" si="361"/>
        <v>2026</v>
      </c>
      <c r="E345" s="2" t="str">
        <f t="shared" si="362"/>
        <v>夏</v>
      </c>
      <c r="F345" s="2" t="str">
        <f t="shared" si="363"/>
        <v>一般毛衣(SWEATER)(KW)</v>
      </c>
      <c r="H345" s="2" t="str">
        <f t="shared" si="364"/>
        <v>PRKWG2303M</v>
      </c>
      <c r="I345" s="2" t="str">
        <f t="shared" si="415"/>
        <v>(99)MIX99</v>
      </c>
      <c r="J345" s="2" t="str">
        <f>"165"</f>
        <v>165</v>
      </c>
      <c r="K345" s="2" t="str">
        <f>"PRKWG2303M99165"</f>
        <v>PRKWG2303M99165</v>
      </c>
      <c r="L345" s="2" t="str">
        <f t="shared" si="365"/>
        <v>899</v>
      </c>
      <c r="M345" s="1">
        <v>2</v>
      </c>
      <c r="N345" s="1">
        <v>1798</v>
      </c>
      <c r="O345" s="1">
        <v>2</v>
      </c>
      <c r="P345" s="1">
        <v>1798</v>
      </c>
      <c r="Q345" s="1">
        <v>0</v>
      </c>
      <c r="R345" s="1">
        <v>0</v>
      </c>
      <c r="S345" s="1">
        <v>0</v>
      </c>
      <c r="T345" s="1">
        <v>0</v>
      </c>
      <c r="U345" s="1">
        <v>2</v>
      </c>
      <c r="V345" s="1">
        <v>1798</v>
      </c>
    </row>
    <row r="346" spans="1:22" x14ac:dyDescent="0.15">
      <c r="A346" s="2" t="str">
        <f t="shared" si="416"/>
        <v>CLOD</v>
      </c>
      <c r="B346" s="2" t="str">
        <f t="shared" si="417"/>
        <v>川西支社</v>
      </c>
      <c r="C346" s="2" t="str">
        <f t="shared" si="418"/>
        <v>PR 成都天府和悦1(CLOD)</v>
      </c>
      <c r="D346" s="2" t="str">
        <f t="shared" si="361"/>
        <v>2026</v>
      </c>
      <c r="E346" s="2" t="str">
        <f t="shared" si="362"/>
        <v>夏</v>
      </c>
      <c r="F346" s="2" t="str">
        <f t="shared" si="363"/>
        <v>一般毛衣(SWEATER)(KW)</v>
      </c>
      <c r="H346" s="2" t="str">
        <f t="shared" si="364"/>
        <v>PRKWG2303M</v>
      </c>
      <c r="I346" s="2" t="str">
        <f t="shared" si="415"/>
        <v>(99)MIX99</v>
      </c>
      <c r="J346" s="2" t="str">
        <f>"170"</f>
        <v>170</v>
      </c>
      <c r="K346" s="2" t="str">
        <f>"PRKWG2303M99170"</f>
        <v>PRKWG2303M99170</v>
      </c>
      <c r="L346" s="2" t="str">
        <f t="shared" si="365"/>
        <v>899</v>
      </c>
      <c r="M346" s="1">
        <v>1</v>
      </c>
      <c r="N346" s="1">
        <v>899</v>
      </c>
      <c r="O346" s="1">
        <v>1</v>
      </c>
      <c r="P346" s="1">
        <v>899</v>
      </c>
      <c r="Q346" s="1">
        <v>0</v>
      </c>
      <c r="R346" s="1">
        <v>0</v>
      </c>
      <c r="S346" s="1">
        <v>0</v>
      </c>
      <c r="T346" s="1">
        <v>0</v>
      </c>
      <c r="U346" s="1">
        <v>1</v>
      </c>
      <c r="V346" s="1">
        <v>899</v>
      </c>
    </row>
    <row r="347" spans="1:22" x14ac:dyDescent="0.15">
      <c r="A347" s="2" t="str">
        <f t="shared" ref="A347:A350" si="419">"CLQK"</f>
        <v>CLQK</v>
      </c>
      <c r="B347" s="2" t="str">
        <f t="shared" ref="B347:B350" si="420">"华北支社"</f>
        <v>华北支社</v>
      </c>
      <c r="C347" s="2" t="str">
        <f t="shared" ref="C347:C350" si="421">"PR 天津杉杉奥莱(CLQK)"</f>
        <v>PR 天津杉杉奥莱(CLQK)</v>
      </c>
      <c r="D347" s="2" t="str">
        <f t="shared" si="361"/>
        <v>2026</v>
      </c>
      <c r="E347" s="2" t="str">
        <f t="shared" si="362"/>
        <v>夏</v>
      </c>
      <c r="F347" s="2" t="str">
        <f t="shared" si="363"/>
        <v>一般毛衣(SWEATER)(KW)</v>
      </c>
      <c r="H347" s="2" t="str">
        <f t="shared" si="364"/>
        <v>PRKWG2303M</v>
      </c>
      <c r="I347" s="2" t="str">
        <f t="shared" si="415"/>
        <v>(99)MIX99</v>
      </c>
      <c r="J347" s="2" t="str">
        <f>"155"</f>
        <v>155</v>
      </c>
      <c r="K347" s="2" t="str">
        <f>"PRKWG2303M99155"</f>
        <v>PRKWG2303M99155</v>
      </c>
      <c r="L347" s="2" t="str">
        <f t="shared" si="365"/>
        <v>899</v>
      </c>
      <c r="M347" s="1">
        <v>1</v>
      </c>
      <c r="N347" s="1">
        <v>899</v>
      </c>
      <c r="O347" s="1">
        <v>1</v>
      </c>
      <c r="P347" s="1">
        <v>899</v>
      </c>
      <c r="Q347" s="1">
        <v>0</v>
      </c>
      <c r="R347" s="1">
        <v>0</v>
      </c>
      <c r="S347" s="1">
        <v>0</v>
      </c>
      <c r="T347" s="1">
        <v>0</v>
      </c>
      <c r="U347" s="1">
        <v>1</v>
      </c>
      <c r="V347" s="1">
        <v>899</v>
      </c>
    </row>
    <row r="348" spans="1:22" x14ac:dyDescent="0.15">
      <c r="A348" s="2" t="str">
        <f t="shared" si="419"/>
        <v>CLQK</v>
      </c>
      <c r="B348" s="2" t="str">
        <f t="shared" si="420"/>
        <v>华北支社</v>
      </c>
      <c r="C348" s="2" t="str">
        <f t="shared" si="421"/>
        <v>PR 天津杉杉奥莱(CLQK)</v>
      </c>
      <c r="D348" s="2" t="str">
        <f t="shared" si="361"/>
        <v>2026</v>
      </c>
      <c r="E348" s="2" t="str">
        <f t="shared" si="362"/>
        <v>夏</v>
      </c>
      <c r="F348" s="2" t="str">
        <f t="shared" si="363"/>
        <v>一般毛衣(SWEATER)(KW)</v>
      </c>
      <c r="H348" s="2" t="str">
        <f t="shared" si="364"/>
        <v>PRKWG2303M</v>
      </c>
      <c r="I348" s="2" t="str">
        <f t="shared" si="415"/>
        <v>(99)MIX99</v>
      </c>
      <c r="J348" s="2" t="str">
        <f>"160"</f>
        <v>160</v>
      </c>
      <c r="K348" s="2" t="str">
        <f>"PRKWG2303M99160"</f>
        <v>PRKWG2303M99160</v>
      </c>
      <c r="L348" s="2" t="str">
        <f t="shared" si="365"/>
        <v>899</v>
      </c>
      <c r="M348" s="1">
        <v>3</v>
      </c>
      <c r="N348" s="1">
        <v>2697</v>
      </c>
      <c r="O348" s="1">
        <v>3</v>
      </c>
      <c r="P348" s="1">
        <v>2697</v>
      </c>
      <c r="Q348" s="1">
        <v>0</v>
      </c>
      <c r="R348" s="1">
        <v>0</v>
      </c>
      <c r="S348" s="1">
        <v>0</v>
      </c>
      <c r="T348" s="1">
        <v>0</v>
      </c>
      <c r="U348" s="1">
        <v>3</v>
      </c>
      <c r="V348" s="1">
        <v>2697</v>
      </c>
    </row>
    <row r="349" spans="1:22" x14ac:dyDescent="0.15">
      <c r="A349" s="2" t="str">
        <f t="shared" si="419"/>
        <v>CLQK</v>
      </c>
      <c r="B349" s="2" t="str">
        <f t="shared" si="420"/>
        <v>华北支社</v>
      </c>
      <c r="C349" s="2" t="str">
        <f t="shared" si="421"/>
        <v>PR 天津杉杉奥莱(CLQK)</v>
      </c>
      <c r="D349" s="2" t="str">
        <f t="shared" ref="D349:D401" si="422">"2026"</f>
        <v>2026</v>
      </c>
      <c r="E349" s="2" t="str">
        <f t="shared" ref="E349:E401" si="423">"夏"</f>
        <v>夏</v>
      </c>
      <c r="F349" s="2" t="str">
        <f t="shared" ref="F349:F401" si="424">"一般毛衣(SWEATER)(KW)"</f>
        <v>一般毛衣(SWEATER)(KW)</v>
      </c>
      <c r="H349" s="2" t="str">
        <f t="shared" ref="H349:H401" si="425">"PRKWG2303M"</f>
        <v>PRKWG2303M</v>
      </c>
      <c r="I349" s="2" t="str">
        <f t="shared" si="415"/>
        <v>(99)MIX99</v>
      </c>
      <c r="J349" s="2" t="str">
        <f t="shared" ref="J349:J351" si="426">"165"</f>
        <v>165</v>
      </c>
      <c r="K349" s="2" t="str">
        <f>"PRKWG2303M99165"</f>
        <v>PRKWG2303M99165</v>
      </c>
      <c r="L349" s="2" t="str">
        <f t="shared" ref="L349:L401" si="427">"899"</f>
        <v>899</v>
      </c>
      <c r="M349" s="1">
        <v>4</v>
      </c>
      <c r="N349" s="1">
        <v>3596</v>
      </c>
      <c r="O349" s="1">
        <v>4</v>
      </c>
      <c r="P349" s="1">
        <v>3596</v>
      </c>
      <c r="Q349" s="1">
        <v>0</v>
      </c>
      <c r="R349" s="1">
        <v>0</v>
      </c>
      <c r="S349" s="1">
        <v>0</v>
      </c>
      <c r="T349" s="1">
        <v>0</v>
      </c>
      <c r="U349" s="1">
        <v>4</v>
      </c>
      <c r="V349" s="1">
        <v>3596</v>
      </c>
    </row>
    <row r="350" spans="1:22" x14ac:dyDescent="0.15">
      <c r="A350" s="2" t="str">
        <f t="shared" si="419"/>
        <v>CLQK</v>
      </c>
      <c r="B350" s="2" t="str">
        <f t="shared" si="420"/>
        <v>华北支社</v>
      </c>
      <c r="C350" s="2" t="str">
        <f t="shared" si="421"/>
        <v>PR 天津杉杉奥莱(CLQK)</v>
      </c>
      <c r="D350" s="2" t="str">
        <f t="shared" si="422"/>
        <v>2026</v>
      </c>
      <c r="E350" s="2" t="str">
        <f t="shared" si="423"/>
        <v>夏</v>
      </c>
      <c r="F350" s="2" t="str">
        <f t="shared" si="424"/>
        <v>一般毛衣(SWEATER)(KW)</v>
      </c>
      <c r="H350" s="2" t="str">
        <f t="shared" si="425"/>
        <v>PRKWG2303M</v>
      </c>
      <c r="I350" s="2" t="str">
        <f t="shared" si="415"/>
        <v>(99)MIX99</v>
      </c>
      <c r="J350" s="2" t="str">
        <f>"170"</f>
        <v>170</v>
      </c>
      <c r="K350" s="2" t="str">
        <f>"PRKWG2303M99170"</f>
        <v>PRKWG2303M99170</v>
      </c>
      <c r="L350" s="2" t="str">
        <f t="shared" si="427"/>
        <v>899</v>
      </c>
      <c r="M350" s="1">
        <v>2</v>
      </c>
      <c r="N350" s="1">
        <v>1798</v>
      </c>
      <c r="O350" s="1">
        <v>2</v>
      </c>
      <c r="P350" s="1">
        <v>1798</v>
      </c>
      <c r="Q350" s="1">
        <v>0</v>
      </c>
      <c r="R350" s="1">
        <v>0</v>
      </c>
      <c r="S350" s="1">
        <v>0</v>
      </c>
      <c r="T350" s="1">
        <v>0</v>
      </c>
      <c r="U350" s="1">
        <v>2</v>
      </c>
      <c r="V350" s="1">
        <v>1798</v>
      </c>
    </row>
    <row r="351" spans="1:22" x14ac:dyDescent="0.15">
      <c r="A351" s="2" t="str">
        <f>"CLSF"</f>
        <v>CLSF</v>
      </c>
      <c r="B351" s="2" t="str">
        <f>"川西支社"</f>
        <v>川西支社</v>
      </c>
      <c r="C351" s="2" t="str">
        <f>"PR 成都城西优品道1(CLSF)"</f>
        <v>PR 成都城西优品道1(CLSF)</v>
      </c>
      <c r="D351" s="2" t="str">
        <f t="shared" si="422"/>
        <v>2026</v>
      </c>
      <c r="E351" s="2" t="str">
        <f t="shared" si="423"/>
        <v>夏</v>
      </c>
      <c r="F351" s="2" t="str">
        <f t="shared" si="424"/>
        <v>一般毛衣(SWEATER)(KW)</v>
      </c>
      <c r="H351" s="2" t="str">
        <f t="shared" si="425"/>
        <v>PRKWG2303M</v>
      </c>
      <c r="I351" s="2" t="str">
        <f t="shared" si="415"/>
        <v>(99)MIX99</v>
      </c>
      <c r="J351" s="2" t="str">
        <f t="shared" si="426"/>
        <v>165</v>
      </c>
      <c r="K351" s="2" t="str">
        <f>"PRKWG2303M99165"</f>
        <v>PRKWG2303M99165</v>
      </c>
      <c r="L351" s="2" t="str">
        <f t="shared" si="427"/>
        <v>899</v>
      </c>
      <c r="M351" s="1">
        <v>1</v>
      </c>
      <c r="N351" s="1">
        <v>899</v>
      </c>
      <c r="O351" s="1">
        <v>1</v>
      </c>
      <c r="P351" s="1">
        <v>899</v>
      </c>
      <c r="Q351" s="1">
        <v>0</v>
      </c>
      <c r="R351" s="1">
        <v>0</v>
      </c>
      <c r="S351" s="1">
        <v>0</v>
      </c>
      <c r="T351" s="1">
        <v>0</v>
      </c>
      <c r="U351" s="1">
        <v>1</v>
      </c>
      <c r="V351" s="1">
        <v>899</v>
      </c>
    </row>
    <row r="352" spans="1:22" x14ac:dyDescent="0.15">
      <c r="A352" s="2" t="str">
        <f t="shared" ref="A352:A353" si="428">"CLU8"</f>
        <v>CLU8</v>
      </c>
      <c r="B352" s="2" t="str">
        <f t="shared" ref="B352:B353" si="429">"重庆支社"</f>
        <v>重庆支社</v>
      </c>
      <c r="C352" s="2" t="str">
        <f t="shared" ref="C352:C353" si="430">"PR 重庆瑞成商都1(CLU8)"</f>
        <v>PR 重庆瑞成商都1(CLU8)</v>
      </c>
      <c r="D352" s="2" t="str">
        <f t="shared" si="422"/>
        <v>2026</v>
      </c>
      <c r="E352" s="2" t="str">
        <f t="shared" si="423"/>
        <v>夏</v>
      </c>
      <c r="F352" s="2" t="str">
        <f t="shared" si="424"/>
        <v>一般毛衣(SWEATER)(KW)</v>
      </c>
      <c r="H352" s="2" t="str">
        <f t="shared" si="425"/>
        <v>PRKWG2303M</v>
      </c>
      <c r="I352" s="2" t="str">
        <f t="shared" ref="I352:I356" si="431">"(99)MIX99"</f>
        <v>(99)MIX99</v>
      </c>
      <c r="J352" s="2" t="str">
        <f t="shared" ref="J352:J354" si="432">"160"</f>
        <v>160</v>
      </c>
      <c r="K352" s="2" t="str">
        <f>"PRKWG2303M99160"</f>
        <v>PRKWG2303M99160</v>
      </c>
      <c r="L352" s="2" t="str">
        <f t="shared" si="427"/>
        <v>899</v>
      </c>
      <c r="M352" s="1">
        <v>2</v>
      </c>
      <c r="N352" s="1">
        <v>1798</v>
      </c>
      <c r="O352" s="1">
        <v>2</v>
      </c>
      <c r="P352" s="1">
        <v>1798</v>
      </c>
      <c r="Q352" s="1">
        <v>0</v>
      </c>
      <c r="R352" s="1">
        <v>0</v>
      </c>
      <c r="S352" s="1">
        <v>0</v>
      </c>
      <c r="T352" s="1">
        <v>0</v>
      </c>
      <c r="U352" s="1">
        <v>2</v>
      </c>
      <c r="V352" s="1">
        <v>1798</v>
      </c>
    </row>
    <row r="353" spans="1:22" x14ac:dyDescent="0.15">
      <c r="A353" s="2" t="str">
        <f t="shared" si="428"/>
        <v>CLU8</v>
      </c>
      <c r="B353" s="2" t="str">
        <f t="shared" si="429"/>
        <v>重庆支社</v>
      </c>
      <c r="C353" s="2" t="str">
        <f t="shared" si="430"/>
        <v>PR 重庆瑞成商都1(CLU8)</v>
      </c>
      <c r="D353" s="2" t="str">
        <f t="shared" si="422"/>
        <v>2026</v>
      </c>
      <c r="E353" s="2" t="str">
        <f t="shared" si="423"/>
        <v>夏</v>
      </c>
      <c r="F353" s="2" t="str">
        <f t="shared" si="424"/>
        <v>一般毛衣(SWEATER)(KW)</v>
      </c>
      <c r="H353" s="2" t="str">
        <f t="shared" si="425"/>
        <v>PRKWG2303M</v>
      </c>
      <c r="I353" s="2" t="str">
        <f t="shared" si="431"/>
        <v>(99)MIX99</v>
      </c>
      <c r="J353" s="2" t="str">
        <f t="shared" ref="J353:J355" si="433">"165"</f>
        <v>165</v>
      </c>
      <c r="K353" s="2" t="str">
        <f>"PRKWG2303M99165"</f>
        <v>PRKWG2303M99165</v>
      </c>
      <c r="L353" s="2" t="str">
        <f t="shared" si="427"/>
        <v>899</v>
      </c>
      <c r="M353" s="1">
        <v>1</v>
      </c>
      <c r="N353" s="1">
        <v>899</v>
      </c>
      <c r="O353" s="1">
        <v>1</v>
      </c>
      <c r="P353" s="1">
        <v>899</v>
      </c>
      <c r="Q353" s="1">
        <v>0</v>
      </c>
      <c r="R353" s="1">
        <v>0</v>
      </c>
      <c r="S353" s="1">
        <v>0</v>
      </c>
      <c r="T353" s="1">
        <v>0</v>
      </c>
      <c r="U353" s="1">
        <v>1</v>
      </c>
      <c r="V353" s="1">
        <v>899</v>
      </c>
    </row>
    <row r="354" spans="1:22" x14ac:dyDescent="0.15">
      <c r="A354" s="2" t="str">
        <f t="shared" ref="A354:A356" si="434">"CLVT"</f>
        <v>CLVT</v>
      </c>
      <c r="B354" s="2" t="str">
        <f t="shared" ref="B354:B356" si="435">"东北支社"</f>
        <v>东北支社</v>
      </c>
      <c r="C354" s="2" t="str">
        <f t="shared" ref="C354:C356" si="436">"PR 哈尔滨凯德广场学府店(CLVT)"</f>
        <v>PR 哈尔滨凯德广场学府店(CLVT)</v>
      </c>
      <c r="D354" s="2" t="str">
        <f t="shared" si="422"/>
        <v>2026</v>
      </c>
      <c r="E354" s="2" t="str">
        <f t="shared" si="423"/>
        <v>夏</v>
      </c>
      <c r="F354" s="2" t="str">
        <f t="shared" si="424"/>
        <v>一般毛衣(SWEATER)(KW)</v>
      </c>
      <c r="H354" s="2" t="str">
        <f t="shared" si="425"/>
        <v>PRKWG2303M</v>
      </c>
      <c r="I354" s="2" t="str">
        <f t="shared" si="431"/>
        <v>(99)MIX99</v>
      </c>
      <c r="J354" s="2" t="str">
        <f t="shared" si="432"/>
        <v>160</v>
      </c>
      <c r="K354" s="2" t="str">
        <f>"PRKWG2303M99160"</f>
        <v>PRKWG2303M99160</v>
      </c>
      <c r="L354" s="2" t="str">
        <f t="shared" si="427"/>
        <v>899</v>
      </c>
      <c r="M354" s="1">
        <v>3</v>
      </c>
      <c r="N354" s="1">
        <v>2697</v>
      </c>
      <c r="O354" s="1">
        <v>3</v>
      </c>
      <c r="P354" s="1">
        <v>2697</v>
      </c>
      <c r="Q354" s="1">
        <v>0</v>
      </c>
      <c r="R354" s="1">
        <v>0</v>
      </c>
      <c r="S354" s="1">
        <v>0</v>
      </c>
      <c r="T354" s="1">
        <v>0</v>
      </c>
      <c r="U354" s="1">
        <v>3</v>
      </c>
      <c r="V354" s="1">
        <v>2697</v>
      </c>
    </row>
    <row r="355" spans="1:22" x14ac:dyDescent="0.15">
      <c r="A355" s="2" t="str">
        <f t="shared" si="434"/>
        <v>CLVT</v>
      </c>
      <c r="B355" s="2" t="str">
        <f t="shared" si="435"/>
        <v>东北支社</v>
      </c>
      <c r="C355" s="2" t="str">
        <f t="shared" si="436"/>
        <v>PR 哈尔滨凯德广场学府店(CLVT)</v>
      </c>
      <c r="D355" s="2" t="str">
        <f t="shared" si="422"/>
        <v>2026</v>
      </c>
      <c r="E355" s="2" t="str">
        <f t="shared" si="423"/>
        <v>夏</v>
      </c>
      <c r="F355" s="2" t="str">
        <f t="shared" si="424"/>
        <v>一般毛衣(SWEATER)(KW)</v>
      </c>
      <c r="H355" s="2" t="str">
        <f t="shared" si="425"/>
        <v>PRKWG2303M</v>
      </c>
      <c r="I355" s="2" t="str">
        <f t="shared" si="431"/>
        <v>(99)MIX99</v>
      </c>
      <c r="J355" s="2" t="str">
        <f t="shared" si="433"/>
        <v>165</v>
      </c>
      <c r="K355" s="2" t="str">
        <f>"PRKWG2303M99165"</f>
        <v>PRKWG2303M99165</v>
      </c>
      <c r="L355" s="2" t="str">
        <f t="shared" si="427"/>
        <v>899</v>
      </c>
      <c r="M355" s="1">
        <v>1</v>
      </c>
      <c r="N355" s="1">
        <v>899</v>
      </c>
      <c r="O355" s="1">
        <v>1</v>
      </c>
      <c r="P355" s="1">
        <v>899</v>
      </c>
      <c r="Q355" s="1">
        <v>0</v>
      </c>
      <c r="R355" s="1">
        <v>0</v>
      </c>
      <c r="S355" s="1">
        <v>0</v>
      </c>
      <c r="T355" s="1">
        <v>0</v>
      </c>
      <c r="U355" s="1">
        <v>1</v>
      </c>
      <c r="V355" s="1">
        <v>899</v>
      </c>
    </row>
    <row r="356" spans="1:22" x14ac:dyDescent="0.15">
      <c r="A356" s="2" t="str">
        <f t="shared" si="434"/>
        <v>CLVT</v>
      </c>
      <c r="B356" s="2" t="str">
        <f t="shared" si="435"/>
        <v>东北支社</v>
      </c>
      <c r="C356" s="2" t="str">
        <f t="shared" si="436"/>
        <v>PR 哈尔滨凯德广场学府店(CLVT)</v>
      </c>
      <c r="D356" s="2" t="str">
        <f t="shared" si="422"/>
        <v>2026</v>
      </c>
      <c r="E356" s="2" t="str">
        <f t="shared" si="423"/>
        <v>夏</v>
      </c>
      <c r="F356" s="2" t="str">
        <f t="shared" si="424"/>
        <v>一般毛衣(SWEATER)(KW)</v>
      </c>
      <c r="H356" s="2" t="str">
        <f t="shared" si="425"/>
        <v>PRKWG2303M</v>
      </c>
      <c r="I356" s="2" t="str">
        <f t="shared" si="431"/>
        <v>(99)MIX99</v>
      </c>
      <c r="J356" s="2" t="str">
        <f>"170"</f>
        <v>170</v>
      </c>
      <c r="K356" s="2" t="str">
        <f>"PRKWG2303M99170"</f>
        <v>PRKWG2303M99170</v>
      </c>
      <c r="L356" s="2" t="str">
        <f t="shared" si="427"/>
        <v>899</v>
      </c>
      <c r="M356" s="1">
        <v>1</v>
      </c>
      <c r="N356" s="1">
        <v>899</v>
      </c>
      <c r="O356" s="1">
        <v>1</v>
      </c>
      <c r="P356" s="1">
        <v>899</v>
      </c>
      <c r="Q356" s="1">
        <v>0</v>
      </c>
      <c r="R356" s="1">
        <v>0</v>
      </c>
      <c r="S356" s="1">
        <v>0</v>
      </c>
      <c r="T356" s="1">
        <v>0</v>
      </c>
      <c r="U356" s="1">
        <v>1</v>
      </c>
      <c r="V356" s="1">
        <v>899</v>
      </c>
    </row>
    <row r="357" spans="1:22" x14ac:dyDescent="0.15">
      <c r="A357" s="2" t="str">
        <f t="shared" ref="A357:A359" si="437">"CLWU"</f>
        <v>CLWU</v>
      </c>
      <c r="B357" s="2" t="str">
        <f t="shared" ref="B357:B362" si="438">"华南支社"</f>
        <v>华南支社</v>
      </c>
      <c r="C357" s="2" t="str">
        <f t="shared" ref="C357:C359" si="439">"PR 深圳KK ONE(CLWU)"</f>
        <v>PR 深圳KK ONE(CLWU)</v>
      </c>
      <c r="D357" s="2" t="str">
        <f t="shared" si="422"/>
        <v>2026</v>
      </c>
      <c r="E357" s="2" t="str">
        <f t="shared" si="423"/>
        <v>夏</v>
      </c>
      <c r="F357" s="2" t="str">
        <f t="shared" si="424"/>
        <v>一般毛衣(SWEATER)(KW)</v>
      </c>
      <c r="H357" s="2" t="str">
        <f t="shared" si="425"/>
        <v>PRKWG2303M</v>
      </c>
      <c r="I357" s="2" t="str">
        <f t="shared" ref="I357:I362" si="440">"(99)MIX99"</f>
        <v>(99)MIX99</v>
      </c>
      <c r="J357" s="2" t="str">
        <f>"160"</f>
        <v>160</v>
      </c>
      <c r="K357" s="2" t="str">
        <f>"PRKWG2303M99160"</f>
        <v>PRKWG2303M99160</v>
      </c>
      <c r="L357" s="2" t="str">
        <f t="shared" si="427"/>
        <v>899</v>
      </c>
      <c r="M357" s="1">
        <v>3</v>
      </c>
      <c r="N357" s="1">
        <v>2697</v>
      </c>
      <c r="O357" s="1">
        <v>3</v>
      </c>
      <c r="P357" s="1">
        <v>2697</v>
      </c>
      <c r="Q357" s="1">
        <v>0</v>
      </c>
      <c r="R357" s="1">
        <v>0</v>
      </c>
      <c r="S357" s="1">
        <v>0</v>
      </c>
      <c r="T357" s="1">
        <v>0</v>
      </c>
      <c r="U357" s="1">
        <v>3</v>
      </c>
      <c r="V357" s="1">
        <v>2697</v>
      </c>
    </row>
    <row r="358" spans="1:22" x14ac:dyDescent="0.15">
      <c r="A358" s="2" t="str">
        <f t="shared" si="437"/>
        <v>CLWU</v>
      </c>
      <c r="B358" s="2" t="str">
        <f t="shared" si="438"/>
        <v>华南支社</v>
      </c>
      <c r="C358" s="2" t="str">
        <f t="shared" si="439"/>
        <v>PR 深圳KK ONE(CLWU)</v>
      </c>
      <c r="D358" s="2" t="str">
        <f t="shared" si="422"/>
        <v>2026</v>
      </c>
      <c r="E358" s="2" t="str">
        <f t="shared" si="423"/>
        <v>夏</v>
      </c>
      <c r="F358" s="2" t="str">
        <f t="shared" si="424"/>
        <v>一般毛衣(SWEATER)(KW)</v>
      </c>
      <c r="H358" s="2" t="str">
        <f t="shared" si="425"/>
        <v>PRKWG2303M</v>
      </c>
      <c r="I358" s="2" t="str">
        <f t="shared" si="440"/>
        <v>(99)MIX99</v>
      </c>
      <c r="J358" s="2" t="str">
        <f>"165"</f>
        <v>165</v>
      </c>
      <c r="K358" s="2" t="str">
        <f>"PRKWG2303M99165"</f>
        <v>PRKWG2303M99165</v>
      </c>
      <c r="L358" s="2" t="str">
        <f t="shared" si="427"/>
        <v>899</v>
      </c>
      <c r="M358" s="1">
        <v>2</v>
      </c>
      <c r="N358" s="1">
        <v>1798</v>
      </c>
      <c r="O358" s="1">
        <v>2</v>
      </c>
      <c r="P358" s="1">
        <v>1798</v>
      </c>
      <c r="Q358" s="1">
        <v>0</v>
      </c>
      <c r="R358" s="1">
        <v>0</v>
      </c>
      <c r="S358" s="1">
        <v>0</v>
      </c>
      <c r="T358" s="1">
        <v>0</v>
      </c>
      <c r="U358" s="1">
        <v>2</v>
      </c>
      <c r="V358" s="1">
        <v>1798</v>
      </c>
    </row>
    <row r="359" spans="1:22" x14ac:dyDescent="0.15">
      <c r="A359" s="2" t="str">
        <f t="shared" si="437"/>
        <v>CLWU</v>
      </c>
      <c r="B359" s="2" t="str">
        <f t="shared" si="438"/>
        <v>华南支社</v>
      </c>
      <c r="C359" s="2" t="str">
        <f t="shared" si="439"/>
        <v>PR 深圳KK ONE(CLWU)</v>
      </c>
      <c r="D359" s="2" t="str">
        <f t="shared" si="422"/>
        <v>2026</v>
      </c>
      <c r="E359" s="2" t="str">
        <f t="shared" si="423"/>
        <v>夏</v>
      </c>
      <c r="F359" s="2" t="str">
        <f t="shared" si="424"/>
        <v>一般毛衣(SWEATER)(KW)</v>
      </c>
      <c r="H359" s="2" t="str">
        <f t="shared" si="425"/>
        <v>PRKWG2303M</v>
      </c>
      <c r="I359" s="2" t="str">
        <f t="shared" si="440"/>
        <v>(99)MIX99</v>
      </c>
      <c r="J359" s="2" t="str">
        <f>"170"</f>
        <v>170</v>
      </c>
      <c r="K359" s="2" t="str">
        <f>"PRKWG2303M99170"</f>
        <v>PRKWG2303M99170</v>
      </c>
      <c r="L359" s="2" t="str">
        <f t="shared" si="427"/>
        <v>899</v>
      </c>
      <c r="M359" s="1">
        <v>2</v>
      </c>
      <c r="N359" s="1">
        <v>1798</v>
      </c>
      <c r="O359" s="1">
        <v>2</v>
      </c>
      <c r="P359" s="1">
        <v>1798</v>
      </c>
      <c r="Q359" s="1">
        <v>0</v>
      </c>
      <c r="R359" s="1">
        <v>0</v>
      </c>
      <c r="S359" s="1">
        <v>0</v>
      </c>
      <c r="T359" s="1">
        <v>0</v>
      </c>
      <c r="U359" s="1">
        <v>2</v>
      </c>
      <c r="V359" s="1">
        <v>1798</v>
      </c>
    </row>
    <row r="360" spans="1:22" x14ac:dyDescent="0.15">
      <c r="A360" s="2" t="str">
        <f t="shared" ref="A360:A362" si="441">"CLX9"</f>
        <v>CLX9</v>
      </c>
      <c r="B360" s="2" t="str">
        <f t="shared" si="438"/>
        <v>华南支社</v>
      </c>
      <c r="C360" s="2" t="str">
        <f t="shared" ref="C360:C362" si="442">"PR 深圳KK TIME(CLX9)"</f>
        <v>PR 深圳KK TIME(CLX9)</v>
      </c>
      <c r="D360" s="2" t="str">
        <f t="shared" si="422"/>
        <v>2026</v>
      </c>
      <c r="E360" s="2" t="str">
        <f t="shared" si="423"/>
        <v>夏</v>
      </c>
      <c r="F360" s="2" t="str">
        <f t="shared" si="424"/>
        <v>一般毛衣(SWEATER)(KW)</v>
      </c>
      <c r="H360" s="2" t="str">
        <f t="shared" si="425"/>
        <v>PRKWG2303M</v>
      </c>
      <c r="I360" s="2" t="str">
        <f t="shared" si="440"/>
        <v>(99)MIX99</v>
      </c>
      <c r="J360" s="2" t="str">
        <f>"160"</f>
        <v>160</v>
      </c>
      <c r="K360" s="2" t="str">
        <f>"PRKWG2303M99160"</f>
        <v>PRKWG2303M99160</v>
      </c>
      <c r="L360" s="2" t="str">
        <f t="shared" si="427"/>
        <v>899</v>
      </c>
      <c r="M360" s="1">
        <v>3</v>
      </c>
      <c r="N360" s="1">
        <v>2697</v>
      </c>
      <c r="O360" s="1">
        <v>3</v>
      </c>
      <c r="P360" s="1">
        <v>2697</v>
      </c>
      <c r="Q360" s="1">
        <v>0</v>
      </c>
      <c r="R360" s="1">
        <v>0</v>
      </c>
      <c r="S360" s="1">
        <v>0</v>
      </c>
      <c r="T360" s="1">
        <v>0</v>
      </c>
      <c r="U360" s="1">
        <v>3</v>
      </c>
      <c r="V360" s="1">
        <v>2697</v>
      </c>
    </row>
    <row r="361" spans="1:22" x14ac:dyDescent="0.15">
      <c r="A361" s="2" t="str">
        <f t="shared" si="441"/>
        <v>CLX9</v>
      </c>
      <c r="B361" s="2" t="str">
        <f t="shared" si="438"/>
        <v>华南支社</v>
      </c>
      <c r="C361" s="2" t="str">
        <f t="shared" si="442"/>
        <v>PR 深圳KK TIME(CLX9)</v>
      </c>
      <c r="D361" s="2" t="str">
        <f t="shared" si="422"/>
        <v>2026</v>
      </c>
      <c r="E361" s="2" t="str">
        <f t="shared" si="423"/>
        <v>夏</v>
      </c>
      <c r="F361" s="2" t="str">
        <f t="shared" si="424"/>
        <v>一般毛衣(SWEATER)(KW)</v>
      </c>
      <c r="H361" s="2" t="str">
        <f t="shared" si="425"/>
        <v>PRKWG2303M</v>
      </c>
      <c r="I361" s="2" t="str">
        <f t="shared" si="440"/>
        <v>(99)MIX99</v>
      </c>
      <c r="J361" s="2" t="str">
        <f>"165"</f>
        <v>165</v>
      </c>
      <c r="K361" s="2" t="str">
        <f>"PRKWG2303M99165"</f>
        <v>PRKWG2303M99165</v>
      </c>
      <c r="L361" s="2" t="str">
        <f t="shared" si="427"/>
        <v>899</v>
      </c>
      <c r="M361" s="1">
        <v>1</v>
      </c>
      <c r="N361" s="1">
        <v>899</v>
      </c>
      <c r="O361" s="1">
        <v>1</v>
      </c>
      <c r="P361" s="1">
        <v>899</v>
      </c>
      <c r="Q361" s="1">
        <v>0</v>
      </c>
      <c r="R361" s="1">
        <v>0</v>
      </c>
      <c r="S361" s="1">
        <v>0</v>
      </c>
      <c r="T361" s="1">
        <v>0</v>
      </c>
      <c r="U361" s="1">
        <v>1</v>
      </c>
      <c r="V361" s="1">
        <v>899</v>
      </c>
    </row>
    <row r="362" spans="1:22" x14ac:dyDescent="0.15">
      <c r="A362" s="2" t="str">
        <f t="shared" si="441"/>
        <v>CLX9</v>
      </c>
      <c r="B362" s="2" t="str">
        <f t="shared" si="438"/>
        <v>华南支社</v>
      </c>
      <c r="C362" s="2" t="str">
        <f t="shared" si="442"/>
        <v>PR 深圳KK TIME(CLX9)</v>
      </c>
      <c r="D362" s="2" t="str">
        <f t="shared" si="422"/>
        <v>2026</v>
      </c>
      <c r="E362" s="2" t="str">
        <f t="shared" si="423"/>
        <v>夏</v>
      </c>
      <c r="F362" s="2" t="str">
        <f t="shared" si="424"/>
        <v>一般毛衣(SWEATER)(KW)</v>
      </c>
      <c r="H362" s="2" t="str">
        <f t="shared" si="425"/>
        <v>PRKWG2303M</v>
      </c>
      <c r="I362" s="2" t="str">
        <f t="shared" si="440"/>
        <v>(99)MIX99</v>
      </c>
      <c r="J362" s="2" t="str">
        <f>"170"</f>
        <v>170</v>
      </c>
      <c r="K362" s="2" t="str">
        <f>"PRKWG2303M99170"</f>
        <v>PRKWG2303M99170</v>
      </c>
      <c r="L362" s="2" t="str">
        <f t="shared" si="427"/>
        <v>899</v>
      </c>
      <c r="M362" s="1">
        <v>0</v>
      </c>
      <c r="N362" s="1">
        <v>0</v>
      </c>
      <c r="O362" s="1">
        <v>0</v>
      </c>
      <c r="P362" s="1">
        <v>0</v>
      </c>
      <c r="Q362" s="1">
        <v>0</v>
      </c>
      <c r="R362" s="1">
        <v>0</v>
      </c>
      <c r="S362" s="1">
        <v>1</v>
      </c>
      <c r="T362" s="1">
        <v>899</v>
      </c>
      <c r="U362" s="1">
        <v>1</v>
      </c>
      <c r="V362" s="1">
        <v>899</v>
      </c>
    </row>
    <row r="363" spans="1:22" x14ac:dyDescent="0.15">
      <c r="A363" s="2" t="str">
        <f t="shared" ref="A363:A366" si="443">"CM08"</f>
        <v>CM08</v>
      </c>
      <c r="B363" s="2" t="str">
        <f t="shared" ref="B363:B366" si="444">"川南支社"</f>
        <v>川南支社</v>
      </c>
      <c r="C363" s="2" t="str">
        <f t="shared" ref="C363:C366" si="445">"PR 泸州万象汇(CM08)"</f>
        <v>PR 泸州万象汇(CM08)</v>
      </c>
      <c r="D363" s="2" t="str">
        <f t="shared" si="422"/>
        <v>2026</v>
      </c>
      <c r="E363" s="2" t="str">
        <f t="shared" si="423"/>
        <v>夏</v>
      </c>
      <c r="F363" s="2" t="str">
        <f t="shared" si="424"/>
        <v>一般毛衣(SWEATER)(KW)</v>
      </c>
      <c r="H363" s="2" t="str">
        <f t="shared" si="425"/>
        <v>PRKWG2303M</v>
      </c>
      <c r="I363" s="2" t="str">
        <f t="shared" ref="I363:I366" si="446">"(99)MIX99"</f>
        <v>(99)MIX99</v>
      </c>
      <c r="J363" s="2" t="str">
        <f>"155"</f>
        <v>155</v>
      </c>
      <c r="K363" s="2" t="str">
        <f>"PRKWG2303M99155"</f>
        <v>PRKWG2303M99155</v>
      </c>
      <c r="L363" s="2" t="str">
        <f t="shared" si="427"/>
        <v>899</v>
      </c>
      <c r="M363" s="1">
        <v>1</v>
      </c>
      <c r="N363" s="1">
        <v>899</v>
      </c>
      <c r="O363" s="1">
        <v>1</v>
      </c>
      <c r="P363" s="1">
        <v>899</v>
      </c>
      <c r="Q363" s="1">
        <v>0</v>
      </c>
      <c r="R363" s="1">
        <v>0</v>
      </c>
      <c r="S363" s="1">
        <v>0</v>
      </c>
      <c r="T363" s="1">
        <v>0</v>
      </c>
      <c r="U363" s="1">
        <v>1</v>
      </c>
      <c r="V363" s="1">
        <v>899</v>
      </c>
    </row>
    <row r="364" spans="1:22" x14ac:dyDescent="0.15">
      <c r="A364" s="2" t="str">
        <f t="shared" si="443"/>
        <v>CM08</v>
      </c>
      <c r="B364" s="2" t="str">
        <f t="shared" si="444"/>
        <v>川南支社</v>
      </c>
      <c r="C364" s="2" t="str">
        <f t="shared" si="445"/>
        <v>PR 泸州万象汇(CM08)</v>
      </c>
      <c r="D364" s="2" t="str">
        <f t="shared" si="422"/>
        <v>2026</v>
      </c>
      <c r="E364" s="2" t="str">
        <f t="shared" si="423"/>
        <v>夏</v>
      </c>
      <c r="F364" s="2" t="str">
        <f t="shared" si="424"/>
        <v>一般毛衣(SWEATER)(KW)</v>
      </c>
      <c r="H364" s="2" t="str">
        <f t="shared" si="425"/>
        <v>PRKWG2303M</v>
      </c>
      <c r="I364" s="2" t="str">
        <f t="shared" si="446"/>
        <v>(99)MIX99</v>
      </c>
      <c r="J364" s="2" t="str">
        <f t="shared" ref="J364:J367" si="447">"160"</f>
        <v>160</v>
      </c>
      <c r="K364" s="2" t="str">
        <f>"PRKWG2303M99160"</f>
        <v>PRKWG2303M99160</v>
      </c>
      <c r="L364" s="2" t="str">
        <f t="shared" si="427"/>
        <v>899</v>
      </c>
      <c r="M364" s="1">
        <v>5</v>
      </c>
      <c r="N364" s="1">
        <v>4495</v>
      </c>
      <c r="O364" s="1">
        <v>5</v>
      </c>
      <c r="P364" s="1">
        <v>4495</v>
      </c>
      <c r="Q364" s="1">
        <v>0</v>
      </c>
      <c r="R364" s="1">
        <v>0</v>
      </c>
      <c r="S364" s="1">
        <v>0</v>
      </c>
      <c r="T364" s="1">
        <v>0</v>
      </c>
      <c r="U364" s="1">
        <v>5</v>
      </c>
      <c r="V364" s="1">
        <v>4495</v>
      </c>
    </row>
    <row r="365" spans="1:22" x14ac:dyDescent="0.15">
      <c r="A365" s="2" t="str">
        <f t="shared" si="443"/>
        <v>CM08</v>
      </c>
      <c r="B365" s="2" t="str">
        <f t="shared" si="444"/>
        <v>川南支社</v>
      </c>
      <c r="C365" s="2" t="str">
        <f t="shared" si="445"/>
        <v>PR 泸州万象汇(CM08)</v>
      </c>
      <c r="D365" s="2" t="str">
        <f t="shared" si="422"/>
        <v>2026</v>
      </c>
      <c r="E365" s="2" t="str">
        <f t="shared" si="423"/>
        <v>夏</v>
      </c>
      <c r="F365" s="2" t="str">
        <f t="shared" si="424"/>
        <v>一般毛衣(SWEATER)(KW)</v>
      </c>
      <c r="H365" s="2" t="str">
        <f t="shared" si="425"/>
        <v>PRKWG2303M</v>
      </c>
      <c r="I365" s="2" t="str">
        <f t="shared" si="446"/>
        <v>(99)MIX99</v>
      </c>
      <c r="J365" s="2" t="str">
        <f t="shared" ref="J365:J368" si="448">"165"</f>
        <v>165</v>
      </c>
      <c r="K365" s="2" t="str">
        <f>"PRKWG2303M99165"</f>
        <v>PRKWG2303M99165</v>
      </c>
      <c r="L365" s="2" t="str">
        <f t="shared" si="427"/>
        <v>899</v>
      </c>
      <c r="M365" s="1">
        <v>1</v>
      </c>
      <c r="N365" s="1">
        <v>899</v>
      </c>
      <c r="O365" s="1">
        <v>1</v>
      </c>
      <c r="P365" s="1">
        <v>899</v>
      </c>
      <c r="Q365" s="1">
        <v>0</v>
      </c>
      <c r="R365" s="1">
        <v>0</v>
      </c>
      <c r="S365" s="1">
        <v>0</v>
      </c>
      <c r="T365" s="1">
        <v>0</v>
      </c>
      <c r="U365" s="1">
        <v>1</v>
      </c>
      <c r="V365" s="1">
        <v>899</v>
      </c>
    </row>
    <row r="366" spans="1:22" x14ac:dyDescent="0.15">
      <c r="A366" s="2" t="str">
        <f t="shared" si="443"/>
        <v>CM08</v>
      </c>
      <c r="B366" s="2" t="str">
        <f t="shared" si="444"/>
        <v>川南支社</v>
      </c>
      <c r="C366" s="2" t="str">
        <f t="shared" si="445"/>
        <v>PR 泸州万象汇(CM08)</v>
      </c>
      <c r="D366" s="2" t="str">
        <f t="shared" si="422"/>
        <v>2026</v>
      </c>
      <c r="E366" s="2" t="str">
        <f t="shared" si="423"/>
        <v>夏</v>
      </c>
      <c r="F366" s="2" t="str">
        <f t="shared" si="424"/>
        <v>一般毛衣(SWEATER)(KW)</v>
      </c>
      <c r="H366" s="2" t="str">
        <f t="shared" si="425"/>
        <v>PRKWG2303M</v>
      </c>
      <c r="I366" s="2" t="str">
        <f t="shared" si="446"/>
        <v>(99)MIX99</v>
      </c>
      <c r="J366" s="2" t="str">
        <f>"170"</f>
        <v>170</v>
      </c>
      <c r="K366" s="2" t="str">
        <f>"PRKWG2303M99170"</f>
        <v>PRKWG2303M99170</v>
      </c>
      <c r="L366" s="2" t="str">
        <f t="shared" si="427"/>
        <v>899</v>
      </c>
      <c r="M366" s="1">
        <v>2</v>
      </c>
      <c r="N366" s="1">
        <v>1798</v>
      </c>
      <c r="O366" s="1">
        <v>2</v>
      </c>
      <c r="P366" s="1">
        <v>1798</v>
      </c>
      <c r="Q366" s="1">
        <v>0</v>
      </c>
      <c r="R366" s="1">
        <v>0</v>
      </c>
      <c r="S366" s="1">
        <v>0</v>
      </c>
      <c r="T366" s="1">
        <v>0</v>
      </c>
      <c r="U366" s="1">
        <v>2</v>
      </c>
      <c r="V366" s="1">
        <v>1798</v>
      </c>
    </row>
    <row r="367" spans="1:22" x14ac:dyDescent="0.15">
      <c r="A367" s="2" t="str">
        <f t="shared" ref="A367:A369" si="449">"CM1R"</f>
        <v>CM1R</v>
      </c>
      <c r="B367" s="2" t="str">
        <f t="shared" ref="B367:B369" si="450">"川西支社"</f>
        <v>川西支社</v>
      </c>
      <c r="C367" s="2" t="str">
        <f t="shared" ref="C367:C369" si="451">"PR 成都凯德天府(CM1R)"</f>
        <v>PR 成都凯德天府(CM1R)</v>
      </c>
      <c r="D367" s="2" t="str">
        <f t="shared" si="422"/>
        <v>2026</v>
      </c>
      <c r="E367" s="2" t="str">
        <f t="shared" si="423"/>
        <v>夏</v>
      </c>
      <c r="F367" s="2" t="str">
        <f t="shared" si="424"/>
        <v>一般毛衣(SWEATER)(KW)</v>
      </c>
      <c r="H367" s="2" t="str">
        <f t="shared" si="425"/>
        <v>PRKWG2303M</v>
      </c>
      <c r="I367" s="2" t="str">
        <f t="shared" ref="I367:I400" si="452">"(99)MIX99"</f>
        <v>(99)MIX99</v>
      </c>
      <c r="J367" s="2" t="str">
        <f t="shared" si="447"/>
        <v>160</v>
      </c>
      <c r="K367" s="2" t="str">
        <f>"PRKWG2303M99160"</f>
        <v>PRKWG2303M99160</v>
      </c>
      <c r="L367" s="2" t="str">
        <f t="shared" si="427"/>
        <v>899</v>
      </c>
      <c r="M367" s="1">
        <v>6</v>
      </c>
      <c r="N367" s="1">
        <v>5394</v>
      </c>
      <c r="O367" s="1">
        <v>6</v>
      </c>
      <c r="P367" s="1">
        <v>5394</v>
      </c>
      <c r="Q367" s="1">
        <v>0</v>
      </c>
      <c r="R367" s="1">
        <v>0</v>
      </c>
      <c r="S367" s="1">
        <v>0</v>
      </c>
      <c r="T367" s="1">
        <v>0</v>
      </c>
      <c r="U367" s="1">
        <v>6</v>
      </c>
      <c r="V367" s="1">
        <v>5394</v>
      </c>
    </row>
    <row r="368" spans="1:22" x14ac:dyDescent="0.15">
      <c r="A368" s="2" t="str">
        <f t="shared" si="449"/>
        <v>CM1R</v>
      </c>
      <c r="B368" s="2" t="str">
        <f t="shared" si="450"/>
        <v>川西支社</v>
      </c>
      <c r="C368" s="2" t="str">
        <f t="shared" si="451"/>
        <v>PR 成都凯德天府(CM1R)</v>
      </c>
      <c r="D368" s="2" t="str">
        <f t="shared" si="422"/>
        <v>2026</v>
      </c>
      <c r="E368" s="2" t="str">
        <f t="shared" si="423"/>
        <v>夏</v>
      </c>
      <c r="F368" s="2" t="str">
        <f t="shared" si="424"/>
        <v>一般毛衣(SWEATER)(KW)</v>
      </c>
      <c r="H368" s="2" t="str">
        <f t="shared" si="425"/>
        <v>PRKWG2303M</v>
      </c>
      <c r="I368" s="2" t="str">
        <f t="shared" si="452"/>
        <v>(99)MIX99</v>
      </c>
      <c r="J368" s="2" t="str">
        <f t="shared" si="448"/>
        <v>165</v>
      </c>
      <c r="K368" s="2" t="str">
        <f>"PRKWG2303M99165"</f>
        <v>PRKWG2303M99165</v>
      </c>
      <c r="L368" s="2" t="str">
        <f t="shared" si="427"/>
        <v>899</v>
      </c>
      <c r="M368" s="1">
        <v>1</v>
      </c>
      <c r="N368" s="1">
        <v>899</v>
      </c>
      <c r="O368" s="1">
        <v>1</v>
      </c>
      <c r="P368" s="1">
        <v>899</v>
      </c>
      <c r="Q368" s="1">
        <v>0</v>
      </c>
      <c r="R368" s="1">
        <v>0</v>
      </c>
      <c r="S368" s="1">
        <v>0</v>
      </c>
      <c r="T368" s="1">
        <v>0</v>
      </c>
      <c r="U368" s="1">
        <v>1</v>
      </c>
      <c r="V368" s="1">
        <v>899</v>
      </c>
    </row>
    <row r="369" spans="1:22" x14ac:dyDescent="0.15">
      <c r="A369" s="2" t="str">
        <f t="shared" si="449"/>
        <v>CM1R</v>
      </c>
      <c r="B369" s="2" t="str">
        <f t="shared" si="450"/>
        <v>川西支社</v>
      </c>
      <c r="C369" s="2" t="str">
        <f t="shared" si="451"/>
        <v>PR 成都凯德天府(CM1R)</v>
      </c>
      <c r="D369" s="2" t="str">
        <f t="shared" si="422"/>
        <v>2026</v>
      </c>
      <c r="E369" s="2" t="str">
        <f t="shared" si="423"/>
        <v>夏</v>
      </c>
      <c r="F369" s="2" t="str">
        <f t="shared" si="424"/>
        <v>一般毛衣(SWEATER)(KW)</v>
      </c>
      <c r="H369" s="2" t="str">
        <f t="shared" si="425"/>
        <v>PRKWG2303M</v>
      </c>
      <c r="I369" s="2" t="str">
        <f t="shared" si="452"/>
        <v>(99)MIX99</v>
      </c>
      <c r="J369" s="2" t="str">
        <f>"170"</f>
        <v>170</v>
      </c>
      <c r="K369" s="2" t="str">
        <f>"PRKWG2303M99170"</f>
        <v>PRKWG2303M99170</v>
      </c>
      <c r="L369" s="2" t="str">
        <f t="shared" si="427"/>
        <v>899</v>
      </c>
      <c r="M369" s="1">
        <v>1</v>
      </c>
      <c r="N369" s="1">
        <v>899</v>
      </c>
      <c r="O369" s="1">
        <v>1</v>
      </c>
      <c r="P369" s="1">
        <v>899</v>
      </c>
      <c r="Q369" s="1">
        <v>0</v>
      </c>
      <c r="R369" s="1">
        <v>0</v>
      </c>
      <c r="S369" s="1">
        <v>0</v>
      </c>
      <c r="T369" s="1">
        <v>0</v>
      </c>
      <c r="U369" s="1">
        <v>1</v>
      </c>
      <c r="V369" s="1">
        <v>899</v>
      </c>
    </row>
    <row r="370" spans="1:22" x14ac:dyDescent="0.15">
      <c r="A370" s="2" t="str">
        <f t="shared" ref="A370:A373" si="453">"CM33"</f>
        <v>CM33</v>
      </c>
      <c r="B370" s="2" t="str">
        <f t="shared" ref="B370:B376" si="454">"川南支社"</f>
        <v>川南支社</v>
      </c>
      <c r="C370" s="2" t="str">
        <f t="shared" ref="C370:C373" si="455">"PR 绵阳梅西SPM(CM33)"</f>
        <v>PR 绵阳梅西SPM(CM33)</v>
      </c>
      <c r="D370" s="2" t="str">
        <f t="shared" si="422"/>
        <v>2026</v>
      </c>
      <c r="E370" s="2" t="str">
        <f t="shared" si="423"/>
        <v>夏</v>
      </c>
      <c r="F370" s="2" t="str">
        <f t="shared" si="424"/>
        <v>一般毛衣(SWEATER)(KW)</v>
      </c>
      <c r="H370" s="2" t="str">
        <f t="shared" si="425"/>
        <v>PRKWG2303M</v>
      </c>
      <c r="I370" s="2" t="str">
        <f t="shared" si="452"/>
        <v>(99)MIX99</v>
      </c>
      <c r="J370" s="2" t="str">
        <f>"155"</f>
        <v>155</v>
      </c>
      <c r="K370" s="2" t="str">
        <f>"PRKWG2303M99155"</f>
        <v>PRKWG2303M99155</v>
      </c>
      <c r="L370" s="2" t="str">
        <f t="shared" si="427"/>
        <v>899</v>
      </c>
      <c r="M370" s="1">
        <v>1</v>
      </c>
      <c r="N370" s="1">
        <v>899</v>
      </c>
      <c r="O370" s="1">
        <v>1</v>
      </c>
      <c r="P370" s="1">
        <v>899</v>
      </c>
      <c r="Q370" s="1">
        <v>0</v>
      </c>
      <c r="R370" s="1">
        <v>0</v>
      </c>
      <c r="S370" s="1">
        <v>0</v>
      </c>
      <c r="T370" s="1">
        <v>0</v>
      </c>
      <c r="U370" s="1">
        <v>1</v>
      </c>
      <c r="V370" s="1">
        <v>899</v>
      </c>
    </row>
    <row r="371" spans="1:22" x14ac:dyDescent="0.15">
      <c r="A371" s="2" t="str">
        <f t="shared" si="453"/>
        <v>CM33</v>
      </c>
      <c r="B371" s="2" t="str">
        <f t="shared" si="454"/>
        <v>川南支社</v>
      </c>
      <c r="C371" s="2" t="str">
        <f t="shared" si="455"/>
        <v>PR 绵阳梅西SPM(CM33)</v>
      </c>
      <c r="D371" s="2" t="str">
        <f t="shared" si="422"/>
        <v>2026</v>
      </c>
      <c r="E371" s="2" t="str">
        <f t="shared" si="423"/>
        <v>夏</v>
      </c>
      <c r="F371" s="2" t="str">
        <f t="shared" si="424"/>
        <v>一般毛衣(SWEATER)(KW)</v>
      </c>
      <c r="H371" s="2" t="str">
        <f t="shared" si="425"/>
        <v>PRKWG2303M</v>
      </c>
      <c r="I371" s="2" t="str">
        <f t="shared" si="452"/>
        <v>(99)MIX99</v>
      </c>
      <c r="J371" s="2" t="str">
        <f>"160"</f>
        <v>160</v>
      </c>
      <c r="K371" s="2" t="str">
        <f>"PRKWG2303M99160"</f>
        <v>PRKWG2303M99160</v>
      </c>
      <c r="L371" s="2" t="str">
        <f t="shared" si="427"/>
        <v>899</v>
      </c>
      <c r="M371" s="1">
        <v>4</v>
      </c>
      <c r="N371" s="1">
        <v>3596</v>
      </c>
      <c r="O371" s="1">
        <v>4</v>
      </c>
      <c r="P371" s="1">
        <v>3596</v>
      </c>
      <c r="Q371" s="1">
        <v>0</v>
      </c>
      <c r="R371" s="1">
        <v>0</v>
      </c>
      <c r="S371" s="1">
        <v>0</v>
      </c>
      <c r="T371" s="1">
        <v>0</v>
      </c>
      <c r="U371" s="1">
        <v>4</v>
      </c>
      <c r="V371" s="1">
        <v>3596</v>
      </c>
    </row>
    <row r="372" spans="1:22" x14ac:dyDescent="0.15">
      <c r="A372" s="2" t="str">
        <f t="shared" si="453"/>
        <v>CM33</v>
      </c>
      <c r="B372" s="2" t="str">
        <f t="shared" si="454"/>
        <v>川南支社</v>
      </c>
      <c r="C372" s="2" t="str">
        <f t="shared" si="455"/>
        <v>PR 绵阳梅西SPM(CM33)</v>
      </c>
      <c r="D372" s="2" t="str">
        <f t="shared" si="422"/>
        <v>2026</v>
      </c>
      <c r="E372" s="2" t="str">
        <f t="shared" si="423"/>
        <v>夏</v>
      </c>
      <c r="F372" s="2" t="str">
        <f t="shared" si="424"/>
        <v>一般毛衣(SWEATER)(KW)</v>
      </c>
      <c r="H372" s="2" t="str">
        <f t="shared" si="425"/>
        <v>PRKWG2303M</v>
      </c>
      <c r="I372" s="2" t="str">
        <f t="shared" si="452"/>
        <v>(99)MIX99</v>
      </c>
      <c r="J372" s="2" t="str">
        <f>"165"</f>
        <v>165</v>
      </c>
      <c r="K372" s="2" t="str">
        <f>"PRKWG2303M99165"</f>
        <v>PRKWG2303M99165</v>
      </c>
      <c r="L372" s="2" t="str">
        <f t="shared" si="427"/>
        <v>899</v>
      </c>
      <c r="M372" s="1">
        <v>3</v>
      </c>
      <c r="N372" s="1">
        <v>2697</v>
      </c>
      <c r="O372" s="1">
        <v>3</v>
      </c>
      <c r="P372" s="1">
        <v>2697</v>
      </c>
      <c r="Q372" s="1">
        <v>0</v>
      </c>
      <c r="R372" s="1">
        <v>0</v>
      </c>
      <c r="S372" s="1">
        <v>0</v>
      </c>
      <c r="T372" s="1">
        <v>0</v>
      </c>
      <c r="U372" s="1">
        <v>3</v>
      </c>
      <c r="V372" s="1">
        <v>2697</v>
      </c>
    </row>
    <row r="373" spans="1:22" x14ac:dyDescent="0.15">
      <c r="A373" s="2" t="str">
        <f t="shared" si="453"/>
        <v>CM33</v>
      </c>
      <c r="B373" s="2" t="str">
        <f t="shared" si="454"/>
        <v>川南支社</v>
      </c>
      <c r="C373" s="2" t="str">
        <f t="shared" si="455"/>
        <v>PR 绵阳梅西SPM(CM33)</v>
      </c>
      <c r="D373" s="2" t="str">
        <f t="shared" si="422"/>
        <v>2026</v>
      </c>
      <c r="E373" s="2" t="str">
        <f t="shared" si="423"/>
        <v>夏</v>
      </c>
      <c r="F373" s="2" t="str">
        <f t="shared" si="424"/>
        <v>一般毛衣(SWEATER)(KW)</v>
      </c>
      <c r="H373" s="2" t="str">
        <f t="shared" si="425"/>
        <v>PRKWG2303M</v>
      </c>
      <c r="I373" s="2" t="str">
        <f t="shared" si="452"/>
        <v>(99)MIX99</v>
      </c>
      <c r="J373" s="2" t="str">
        <f>"170"</f>
        <v>170</v>
      </c>
      <c r="K373" s="2" t="str">
        <f>"PRKWG2303M99170"</f>
        <v>PRKWG2303M99170</v>
      </c>
      <c r="L373" s="2" t="str">
        <f t="shared" si="427"/>
        <v>899</v>
      </c>
      <c r="M373" s="1">
        <v>1</v>
      </c>
      <c r="N373" s="1">
        <v>899</v>
      </c>
      <c r="O373" s="1">
        <v>1</v>
      </c>
      <c r="P373" s="1">
        <v>899</v>
      </c>
      <c r="Q373" s="1">
        <v>0</v>
      </c>
      <c r="R373" s="1">
        <v>0</v>
      </c>
      <c r="S373" s="1">
        <v>0</v>
      </c>
      <c r="T373" s="1">
        <v>0</v>
      </c>
      <c r="U373" s="1">
        <v>1</v>
      </c>
      <c r="V373" s="1">
        <v>899</v>
      </c>
    </row>
    <row r="374" spans="1:22" x14ac:dyDescent="0.15">
      <c r="A374" s="2" t="str">
        <f t="shared" ref="A374:A376" si="456">"CM4U"</f>
        <v>CM4U</v>
      </c>
      <c r="B374" s="2" t="str">
        <f t="shared" si="454"/>
        <v>川南支社</v>
      </c>
      <c r="C374" s="2" t="str">
        <f t="shared" ref="C374:C376" si="457">"PR 宜宾丽雅百货(CM4U)"</f>
        <v>PR 宜宾丽雅百货(CM4U)</v>
      </c>
      <c r="D374" s="2" t="str">
        <f t="shared" si="422"/>
        <v>2026</v>
      </c>
      <c r="E374" s="2" t="str">
        <f t="shared" si="423"/>
        <v>夏</v>
      </c>
      <c r="F374" s="2" t="str">
        <f t="shared" si="424"/>
        <v>一般毛衣(SWEATER)(KW)</v>
      </c>
      <c r="H374" s="2" t="str">
        <f t="shared" si="425"/>
        <v>PRKWG2303M</v>
      </c>
      <c r="I374" s="2" t="str">
        <f t="shared" si="452"/>
        <v>(99)MIX99</v>
      </c>
      <c r="J374" s="2" t="str">
        <f>"160"</f>
        <v>160</v>
      </c>
      <c r="K374" s="2" t="str">
        <f>"PRKWG2303M99160"</f>
        <v>PRKWG2303M99160</v>
      </c>
      <c r="L374" s="2" t="str">
        <f t="shared" si="427"/>
        <v>899</v>
      </c>
      <c r="M374" s="1">
        <v>2</v>
      </c>
      <c r="N374" s="1">
        <v>1798</v>
      </c>
      <c r="O374" s="1">
        <v>2</v>
      </c>
      <c r="P374" s="1">
        <v>1798</v>
      </c>
      <c r="Q374" s="1">
        <v>0</v>
      </c>
      <c r="R374" s="1">
        <v>0</v>
      </c>
      <c r="S374" s="1">
        <v>0</v>
      </c>
      <c r="T374" s="1">
        <v>0</v>
      </c>
      <c r="U374" s="1">
        <v>2</v>
      </c>
      <c r="V374" s="1">
        <v>1798</v>
      </c>
    </row>
    <row r="375" spans="1:22" x14ac:dyDescent="0.15">
      <c r="A375" s="2" t="str">
        <f t="shared" si="456"/>
        <v>CM4U</v>
      </c>
      <c r="B375" s="2" t="str">
        <f t="shared" si="454"/>
        <v>川南支社</v>
      </c>
      <c r="C375" s="2" t="str">
        <f t="shared" si="457"/>
        <v>PR 宜宾丽雅百货(CM4U)</v>
      </c>
      <c r="D375" s="2" t="str">
        <f t="shared" si="422"/>
        <v>2026</v>
      </c>
      <c r="E375" s="2" t="str">
        <f t="shared" si="423"/>
        <v>夏</v>
      </c>
      <c r="F375" s="2" t="str">
        <f t="shared" si="424"/>
        <v>一般毛衣(SWEATER)(KW)</v>
      </c>
      <c r="H375" s="2" t="str">
        <f t="shared" si="425"/>
        <v>PRKWG2303M</v>
      </c>
      <c r="I375" s="2" t="str">
        <f t="shared" si="452"/>
        <v>(99)MIX99</v>
      </c>
      <c r="J375" s="2" t="str">
        <f>"165"</f>
        <v>165</v>
      </c>
      <c r="K375" s="2" t="str">
        <f>"PRKWG2303M99165"</f>
        <v>PRKWG2303M99165</v>
      </c>
      <c r="L375" s="2" t="str">
        <f t="shared" si="427"/>
        <v>899</v>
      </c>
      <c r="M375" s="1">
        <v>3</v>
      </c>
      <c r="N375" s="1">
        <v>2697</v>
      </c>
      <c r="O375" s="1">
        <v>3</v>
      </c>
      <c r="P375" s="1">
        <v>2697</v>
      </c>
      <c r="Q375" s="1">
        <v>0</v>
      </c>
      <c r="R375" s="1">
        <v>0</v>
      </c>
      <c r="S375" s="1">
        <v>0</v>
      </c>
      <c r="T375" s="1">
        <v>0</v>
      </c>
      <c r="U375" s="1">
        <v>3</v>
      </c>
      <c r="V375" s="1">
        <v>2697</v>
      </c>
    </row>
    <row r="376" spans="1:22" x14ac:dyDescent="0.15">
      <c r="A376" s="2" t="str">
        <f t="shared" si="456"/>
        <v>CM4U</v>
      </c>
      <c r="B376" s="2" t="str">
        <f t="shared" si="454"/>
        <v>川南支社</v>
      </c>
      <c r="C376" s="2" t="str">
        <f t="shared" si="457"/>
        <v>PR 宜宾丽雅百货(CM4U)</v>
      </c>
      <c r="D376" s="2" t="str">
        <f t="shared" si="422"/>
        <v>2026</v>
      </c>
      <c r="E376" s="2" t="str">
        <f t="shared" si="423"/>
        <v>夏</v>
      </c>
      <c r="F376" s="2" t="str">
        <f t="shared" si="424"/>
        <v>一般毛衣(SWEATER)(KW)</v>
      </c>
      <c r="H376" s="2" t="str">
        <f t="shared" si="425"/>
        <v>PRKWG2303M</v>
      </c>
      <c r="I376" s="2" t="str">
        <f t="shared" si="452"/>
        <v>(99)MIX99</v>
      </c>
      <c r="J376" s="2" t="str">
        <f>"170"</f>
        <v>170</v>
      </c>
      <c r="K376" s="2" t="str">
        <f>"PRKWG2303M99170"</f>
        <v>PRKWG2303M99170</v>
      </c>
      <c r="L376" s="2" t="str">
        <f t="shared" si="427"/>
        <v>899</v>
      </c>
      <c r="M376" s="1">
        <v>1</v>
      </c>
      <c r="N376" s="1">
        <v>899</v>
      </c>
      <c r="O376" s="1">
        <v>1</v>
      </c>
      <c r="P376" s="1">
        <v>899</v>
      </c>
      <c r="Q376" s="1">
        <v>0</v>
      </c>
      <c r="R376" s="1">
        <v>0</v>
      </c>
      <c r="S376" s="1">
        <v>0</v>
      </c>
      <c r="T376" s="1">
        <v>0</v>
      </c>
      <c r="U376" s="1">
        <v>1</v>
      </c>
      <c r="V376" s="1">
        <v>899</v>
      </c>
    </row>
    <row r="377" spans="1:22" x14ac:dyDescent="0.15">
      <c r="A377" s="2" t="str">
        <f t="shared" ref="A377:A380" si="458">"CM4Z"</f>
        <v>CM4Z</v>
      </c>
      <c r="B377" s="2" t="str">
        <f t="shared" ref="B377:B380" si="459">"北京支社"</f>
        <v>北京支社</v>
      </c>
      <c r="C377" s="2" t="str">
        <f t="shared" ref="C377:C380" si="460">"PR 北京燕莎奥特莱斯1(CM4Z)"</f>
        <v>PR 北京燕莎奥特莱斯1(CM4Z)</v>
      </c>
      <c r="D377" s="2" t="str">
        <f t="shared" si="422"/>
        <v>2026</v>
      </c>
      <c r="E377" s="2" t="str">
        <f t="shared" si="423"/>
        <v>夏</v>
      </c>
      <c r="F377" s="2" t="str">
        <f t="shared" si="424"/>
        <v>一般毛衣(SWEATER)(KW)</v>
      </c>
      <c r="H377" s="2" t="str">
        <f t="shared" si="425"/>
        <v>PRKWG2303M</v>
      </c>
      <c r="I377" s="2" t="str">
        <f t="shared" si="452"/>
        <v>(99)MIX99</v>
      </c>
      <c r="J377" s="2" t="str">
        <f>"155"</f>
        <v>155</v>
      </c>
      <c r="K377" s="2" t="str">
        <f>"PRKWG2303M99155"</f>
        <v>PRKWG2303M99155</v>
      </c>
      <c r="L377" s="2" t="str">
        <f t="shared" si="427"/>
        <v>899</v>
      </c>
      <c r="M377" s="1">
        <v>1</v>
      </c>
      <c r="N377" s="1">
        <v>899</v>
      </c>
      <c r="O377" s="1">
        <v>1</v>
      </c>
      <c r="P377" s="1">
        <v>899</v>
      </c>
      <c r="Q377" s="1">
        <v>0</v>
      </c>
      <c r="R377" s="1">
        <v>0</v>
      </c>
      <c r="S377" s="1">
        <v>0</v>
      </c>
      <c r="T377" s="1">
        <v>0</v>
      </c>
      <c r="U377" s="1">
        <v>1</v>
      </c>
      <c r="V377" s="1">
        <v>899</v>
      </c>
    </row>
    <row r="378" spans="1:22" x14ac:dyDescent="0.15">
      <c r="A378" s="2" t="str">
        <f t="shared" si="458"/>
        <v>CM4Z</v>
      </c>
      <c r="B378" s="2" t="str">
        <f t="shared" si="459"/>
        <v>北京支社</v>
      </c>
      <c r="C378" s="2" t="str">
        <f t="shared" si="460"/>
        <v>PR 北京燕莎奥特莱斯1(CM4Z)</v>
      </c>
      <c r="D378" s="2" t="str">
        <f t="shared" si="422"/>
        <v>2026</v>
      </c>
      <c r="E378" s="2" t="str">
        <f t="shared" si="423"/>
        <v>夏</v>
      </c>
      <c r="F378" s="2" t="str">
        <f t="shared" si="424"/>
        <v>一般毛衣(SWEATER)(KW)</v>
      </c>
      <c r="H378" s="2" t="str">
        <f t="shared" si="425"/>
        <v>PRKWG2303M</v>
      </c>
      <c r="I378" s="2" t="str">
        <f t="shared" si="452"/>
        <v>(99)MIX99</v>
      </c>
      <c r="J378" s="2" t="str">
        <f>"160"</f>
        <v>160</v>
      </c>
      <c r="K378" s="2" t="str">
        <f>"PRKWG2303M99160"</f>
        <v>PRKWG2303M99160</v>
      </c>
      <c r="L378" s="2" t="str">
        <f t="shared" si="427"/>
        <v>899</v>
      </c>
      <c r="M378" s="1">
        <v>2</v>
      </c>
      <c r="N378" s="1">
        <v>1798</v>
      </c>
      <c r="O378" s="1">
        <v>2</v>
      </c>
      <c r="P378" s="1">
        <v>1798</v>
      </c>
      <c r="Q378" s="1">
        <v>0</v>
      </c>
      <c r="R378" s="1">
        <v>0</v>
      </c>
      <c r="S378" s="1">
        <v>0</v>
      </c>
      <c r="T378" s="1">
        <v>0</v>
      </c>
      <c r="U378" s="1">
        <v>2</v>
      </c>
      <c r="V378" s="1">
        <v>1798</v>
      </c>
    </row>
    <row r="379" spans="1:22" x14ac:dyDescent="0.15">
      <c r="A379" s="2" t="str">
        <f t="shared" si="458"/>
        <v>CM4Z</v>
      </c>
      <c r="B379" s="2" t="str">
        <f t="shared" si="459"/>
        <v>北京支社</v>
      </c>
      <c r="C379" s="2" t="str">
        <f t="shared" si="460"/>
        <v>PR 北京燕莎奥特莱斯1(CM4Z)</v>
      </c>
      <c r="D379" s="2" t="str">
        <f t="shared" si="422"/>
        <v>2026</v>
      </c>
      <c r="E379" s="2" t="str">
        <f t="shared" si="423"/>
        <v>夏</v>
      </c>
      <c r="F379" s="2" t="str">
        <f t="shared" si="424"/>
        <v>一般毛衣(SWEATER)(KW)</v>
      </c>
      <c r="H379" s="2" t="str">
        <f t="shared" si="425"/>
        <v>PRKWG2303M</v>
      </c>
      <c r="I379" s="2" t="str">
        <f t="shared" si="452"/>
        <v>(99)MIX99</v>
      </c>
      <c r="J379" s="2" t="str">
        <f>"165"</f>
        <v>165</v>
      </c>
      <c r="K379" s="2" t="str">
        <f>"PRKWG2303M99165"</f>
        <v>PRKWG2303M99165</v>
      </c>
      <c r="L379" s="2" t="str">
        <f t="shared" si="427"/>
        <v>899</v>
      </c>
      <c r="M379" s="1">
        <v>2</v>
      </c>
      <c r="N379" s="1">
        <v>1798</v>
      </c>
      <c r="O379" s="1">
        <v>2</v>
      </c>
      <c r="P379" s="1">
        <v>1798</v>
      </c>
      <c r="Q379" s="1">
        <v>0</v>
      </c>
      <c r="R379" s="1">
        <v>0</v>
      </c>
      <c r="S379" s="1">
        <v>0</v>
      </c>
      <c r="T379" s="1">
        <v>0</v>
      </c>
      <c r="U379" s="1">
        <v>2</v>
      </c>
      <c r="V379" s="1">
        <v>1798</v>
      </c>
    </row>
    <row r="380" spans="1:22" x14ac:dyDescent="0.15">
      <c r="A380" s="2" t="str">
        <f t="shared" si="458"/>
        <v>CM4Z</v>
      </c>
      <c r="B380" s="2" t="str">
        <f t="shared" si="459"/>
        <v>北京支社</v>
      </c>
      <c r="C380" s="2" t="str">
        <f t="shared" si="460"/>
        <v>PR 北京燕莎奥特莱斯1(CM4Z)</v>
      </c>
      <c r="D380" s="2" t="str">
        <f t="shared" si="422"/>
        <v>2026</v>
      </c>
      <c r="E380" s="2" t="str">
        <f t="shared" si="423"/>
        <v>夏</v>
      </c>
      <c r="F380" s="2" t="str">
        <f t="shared" si="424"/>
        <v>一般毛衣(SWEATER)(KW)</v>
      </c>
      <c r="H380" s="2" t="str">
        <f t="shared" si="425"/>
        <v>PRKWG2303M</v>
      </c>
      <c r="I380" s="2" t="str">
        <f t="shared" si="452"/>
        <v>(99)MIX99</v>
      </c>
      <c r="J380" s="2" t="str">
        <f>"170"</f>
        <v>170</v>
      </c>
      <c r="K380" s="2" t="str">
        <f>"PRKWG2303M99170"</f>
        <v>PRKWG2303M99170</v>
      </c>
      <c r="L380" s="2" t="str">
        <f t="shared" si="427"/>
        <v>899</v>
      </c>
      <c r="M380" s="1">
        <v>1</v>
      </c>
      <c r="N380" s="1">
        <v>899</v>
      </c>
      <c r="O380" s="1">
        <v>1</v>
      </c>
      <c r="P380" s="1">
        <v>899</v>
      </c>
      <c r="Q380" s="1">
        <v>0</v>
      </c>
      <c r="R380" s="1">
        <v>0</v>
      </c>
      <c r="S380" s="1">
        <v>0</v>
      </c>
      <c r="T380" s="1">
        <v>0</v>
      </c>
      <c r="U380" s="1">
        <v>1</v>
      </c>
      <c r="V380" s="1">
        <v>899</v>
      </c>
    </row>
    <row r="381" spans="1:22" x14ac:dyDescent="0.15">
      <c r="A381" s="2" t="str">
        <f t="shared" ref="A381:A383" si="461">"CM68"</f>
        <v>CM68</v>
      </c>
      <c r="B381" s="2" t="str">
        <f t="shared" ref="B381:B383" si="462">"华中支社"</f>
        <v>华中支社</v>
      </c>
      <c r="C381" s="2" t="str">
        <f t="shared" ref="C381:C383" si="463">"PR 武汉武商梦时代(CM68)"</f>
        <v>PR 武汉武商梦时代(CM68)</v>
      </c>
      <c r="D381" s="2" t="str">
        <f t="shared" si="422"/>
        <v>2026</v>
      </c>
      <c r="E381" s="2" t="str">
        <f t="shared" si="423"/>
        <v>夏</v>
      </c>
      <c r="F381" s="2" t="str">
        <f t="shared" si="424"/>
        <v>一般毛衣(SWEATER)(KW)</v>
      </c>
      <c r="H381" s="2" t="str">
        <f t="shared" si="425"/>
        <v>PRKWG2303M</v>
      </c>
      <c r="I381" s="2" t="str">
        <f t="shared" si="452"/>
        <v>(99)MIX99</v>
      </c>
      <c r="J381" s="2" t="str">
        <f>"160"</f>
        <v>160</v>
      </c>
      <c r="K381" s="2" t="str">
        <f>"PRKWG2303M99160"</f>
        <v>PRKWG2303M99160</v>
      </c>
      <c r="L381" s="2" t="str">
        <f t="shared" si="427"/>
        <v>899</v>
      </c>
      <c r="M381" s="1">
        <v>2</v>
      </c>
      <c r="N381" s="1">
        <v>1798</v>
      </c>
      <c r="O381" s="1">
        <v>2</v>
      </c>
      <c r="P381" s="1">
        <v>1798</v>
      </c>
      <c r="Q381" s="1">
        <v>0</v>
      </c>
      <c r="R381" s="1">
        <v>0</v>
      </c>
      <c r="S381" s="1">
        <v>0</v>
      </c>
      <c r="T381" s="1">
        <v>0</v>
      </c>
      <c r="U381" s="1">
        <v>2</v>
      </c>
      <c r="V381" s="1">
        <v>1798</v>
      </c>
    </row>
    <row r="382" spans="1:22" x14ac:dyDescent="0.15">
      <c r="A382" s="2" t="str">
        <f t="shared" si="461"/>
        <v>CM68</v>
      </c>
      <c r="B382" s="2" t="str">
        <f t="shared" si="462"/>
        <v>华中支社</v>
      </c>
      <c r="C382" s="2" t="str">
        <f t="shared" si="463"/>
        <v>PR 武汉武商梦时代(CM68)</v>
      </c>
      <c r="D382" s="2" t="str">
        <f t="shared" si="422"/>
        <v>2026</v>
      </c>
      <c r="E382" s="2" t="str">
        <f t="shared" si="423"/>
        <v>夏</v>
      </c>
      <c r="F382" s="2" t="str">
        <f t="shared" si="424"/>
        <v>一般毛衣(SWEATER)(KW)</v>
      </c>
      <c r="H382" s="2" t="str">
        <f t="shared" si="425"/>
        <v>PRKWG2303M</v>
      </c>
      <c r="I382" s="2" t="str">
        <f t="shared" si="452"/>
        <v>(99)MIX99</v>
      </c>
      <c r="J382" s="2" t="str">
        <f>"165"</f>
        <v>165</v>
      </c>
      <c r="K382" s="2" t="str">
        <f>"PRKWG2303M99165"</f>
        <v>PRKWG2303M99165</v>
      </c>
      <c r="L382" s="2" t="str">
        <f t="shared" si="427"/>
        <v>899</v>
      </c>
      <c r="M382" s="1">
        <v>2</v>
      </c>
      <c r="N382" s="1">
        <v>1798</v>
      </c>
      <c r="O382" s="1">
        <v>2</v>
      </c>
      <c r="P382" s="1">
        <v>1798</v>
      </c>
      <c r="Q382" s="1">
        <v>0</v>
      </c>
      <c r="R382" s="1">
        <v>0</v>
      </c>
      <c r="S382" s="1">
        <v>0</v>
      </c>
      <c r="T382" s="1">
        <v>0</v>
      </c>
      <c r="U382" s="1">
        <v>2</v>
      </c>
      <c r="V382" s="1">
        <v>1798</v>
      </c>
    </row>
    <row r="383" spans="1:22" x14ac:dyDescent="0.15">
      <c r="A383" s="2" t="str">
        <f t="shared" si="461"/>
        <v>CM68</v>
      </c>
      <c r="B383" s="2" t="str">
        <f t="shared" si="462"/>
        <v>华中支社</v>
      </c>
      <c r="C383" s="2" t="str">
        <f t="shared" si="463"/>
        <v>PR 武汉武商梦时代(CM68)</v>
      </c>
      <c r="D383" s="2" t="str">
        <f t="shared" si="422"/>
        <v>2026</v>
      </c>
      <c r="E383" s="2" t="str">
        <f t="shared" si="423"/>
        <v>夏</v>
      </c>
      <c r="F383" s="2" t="str">
        <f t="shared" si="424"/>
        <v>一般毛衣(SWEATER)(KW)</v>
      </c>
      <c r="H383" s="2" t="str">
        <f t="shared" si="425"/>
        <v>PRKWG2303M</v>
      </c>
      <c r="I383" s="2" t="str">
        <f t="shared" si="452"/>
        <v>(99)MIX99</v>
      </c>
      <c r="J383" s="2" t="str">
        <f>"170"</f>
        <v>170</v>
      </c>
      <c r="K383" s="2" t="str">
        <f>"PRKWG2303M99170"</f>
        <v>PRKWG2303M99170</v>
      </c>
      <c r="L383" s="2" t="str">
        <f t="shared" si="427"/>
        <v>899</v>
      </c>
      <c r="M383" s="1">
        <v>1</v>
      </c>
      <c r="N383" s="1">
        <v>899</v>
      </c>
      <c r="O383" s="1">
        <v>1</v>
      </c>
      <c r="P383" s="1">
        <v>899</v>
      </c>
      <c r="Q383" s="1">
        <v>0</v>
      </c>
      <c r="R383" s="1">
        <v>0</v>
      </c>
      <c r="S383" s="1">
        <v>0</v>
      </c>
      <c r="T383" s="1">
        <v>0</v>
      </c>
      <c r="U383" s="1">
        <v>1</v>
      </c>
      <c r="V383" s="1">
        <v>899</v>
      </c>
    </row>
    <row r="384" spans="1:22" x14ac:dyDescent="0.15">
      <c r="A384" s="2" t="str">
        <f t="shared" ref="A384:A386" si="464">"CM7Y"</f>
        <v>CM7Y</v>
      </c>
      <c r="B384" s="2" t="str">
        <f t="shared" ref="B384:B386" si="465">"川西支社"</f>
        <v>川西支社</v>
      </c>
      <c r="C384" s="2" t="str">
        <f t="shared" ref="C384:C386" si="466">"PR 成都世茂广场(CM7Y)"</f>
        <v>PR 成都世茂广场(CM7Y)</v>
      </c>
      <c r="D384" s="2" t="str">
        <f t="shared" si="422"/>
        <v>2026</v>
      </c>
      <c r="E384" s="2" t="str">
        <f t="shared" si="423"/>
        <v>夏</v>
      </c>
      <c r="F384" s="2" t="str">
        <f t="shared" si="424"/>
        <v>一般毛衣(SWEATER)(KW)</v>
      </c>
      <c r="H384" s="2" t="str">
        <f t="shared" si="425"/>
        <v>PRKWG2303M</v>
      </c>
      <c r="I384" s="2" t="str">
        <f t="shared" si="452"/>
        <v>(99)MIX99</v>
      </c>
      <c r="J384" s="2" t="str">
        <f t="shared" ref="J384:J389" si="467">"160"</f>
        <v>160</v>
      </c>
      <c r="K384" s="2" t="str">
        <f t="shared" ref="K384:K389" si="468">"PRKWG2303M99160"</f>
        <v>PRKWG2303M99160</v>
      </c>
      <c r="L384" s="2" t="str">
        <f t="shared" si="427"/>
        <v>899</v>
      </c>
      <c r="M384" s="1">
        <v>1</v>
      </c>
      <c r="N384" s="1">
        <v>899</v>
      </c>
      <c r="O384" s="1">
        <v>1</v>
      </c>
      <c r="P384" s="1">
        <v>899</v>
      </c>
      <c r="Q384" s="1">
        <v>0</v>
      </c>
      <c r="R384" s="1">
        <v>0</v>
      </c>
      <c r="S384" s="1">
        <v>0</v>
      </c>
      <c r="T384" s="1">
        <v>0</v>
      </c>
      <c r="U384" s="1">
        <v>1</v>
      </c>
      <c r="V384" s="1">
        <v>899</v>
      </c>
    </row>
    <row r="385" spans="1:22" x14ac:dyDescent="0.15">
      <c r="A385" s="2" t="str">
        <f t="shared" si="464"/>
        <v>CM7Y</v>
      </c>
      <c r="B385" s="2" t="str">
        <f t="shared" si="465"/>
        <v>川西支社</v>
      </c>
      <c r="C385" s="2" t="str">
        <f t="shared" si="466"/>
        <v>PR 成都世茂广场(CM7Y)</v>
      </c>
      <c r="D385" s="2" t="str">
        <f t="shared" si="422"/>
        <v>2026</v>
      </c>
      <c r="E385" s="2" t="str">
        <f t="shared" si="423"/>
        <v>夏</v>
      </c>
      <c r="F385" s="2" t="str">
        <f t="shared" si="424"/>
        <v>一般毛衣(SWEATER)(KW)</v>
      </c>
      <c r="H385" s="2" t="str">
        <f t="shared" si="425"/>
        <v>PRKWG2303M</v>
      </c>
      <c r="I385" s="2" t="str">
        <f t="shared" si="452"/>
        <v>(99)MIX99</v>
      </c>
      <c r="J385" s="2" t="str">
        <f t="shared" ref="J385:J390" si="469">"165"</f>
        <v>165</v>
      </c>
      <c r="K385" s="2" t="str">
        <f t="shared" ref="K385:K390" si="470">"PRKWG2303M99165"</f>
        <v>PRKWG2303M99165</v>
      </c>
      <c r="L385" s="2" t="str">
        <f t="shared" si="427"/>
        <v>899</v>
      </c>
      <c r="M385" s="1">
        <v>1</v>
      </c>
      <c r="N385" s="1">
        <v>899</v>
      </c>
      <c r="O385" s="1">
        <v>1</v>
      </c>
      <c r="P385" s="1">
        <v>899</v>
      </c>
      <c r="Q385" s="1">
        <v>0</v>
      </c>
      <c r="R385" s="1">
        <v>0</v>
      </c>
      <c r="S385" s="1">
        <v>0</v>
      </c>
      <c r="T385" s="1">
        <v>0</v>
      </c>
      <c r="U385" s="1">
        <v>1</v>
      </c>
      <c r="V385" s="1">
        <v>899</v>
      </c>
    </row>
    <row r="386" spans="1:22" x14ac:dyDescent="0.15">
      <c r="A386" s="2" t="str">
        <f t="shared" si="464"/>
        <v>CM7Y</v>
      </c>
      <c r="B386" s="2" t="str">
        <f t="shared" si="465"/>
        <v>川西支社</v>
      </c>
      <c r="C386" s="2" t="str">
        <f t="shared" si="466"/>
        <v>PR 成都世茂广场(CM7Y)</v>
      </c>
      <c r="D386" s="2" t="str">
        <f t="shared" si="422"/>
        <v>2026</v>
      </c>
      <c r="E386" s="2" t="str">
        <f t="shared" si="423"/>
        <v>夏</v>
      </c>
      <c r="F386" s="2" t="str">
        <f t="shared" si="424"/>
        <v>一般毛衣(SWEATER)(KW)</v>
      </c>
      <c r="H386" s="2" t="str">
        <f t="shared" si="425"/>
        <v>PRKWG2303M</v>
      </c>
      <c r="I386" s="2" t="str">
        <f t="shared" si="452"/>
        <v>(99)MIX99</v>
      </c>
      <c r="J386" s="2" t="str">
        <f>"170"</f>
        <v>170</v>
      </c>
      <c r="K386" s="2" t="str">
        <f>"PRKWG2303M99170"</f>
        <v>PRKWG2303M99170</v>
      </c>
      <c r="L386" s="2" t="str">
        <f t="shared" si="427"/>
        <v>899</v>
      </c>
      <c r="M386" s="1">
        <v>1</v>
      </c>
      <c r="N386" s="1">
        <v>899</v>
      </c>
      <c r="O386" s="1">
        <v>1</v>
      </c>
      <c r="P386" s="1">
        <v>899</v>
      </c>
      <c r="Q386" s="1">
        <v>0</v>
      </c>
      <c r="R386" s="1">
        <v>0</v>
      </c>
      <c r="S386" s="1">
        <v>0</v>
      </c>
      <c r="T386" s="1">
        <v>0</v>
      </c>
      <c r="U386" s="1">
        <v>1</v>
      </c>
      <c r="V386" s="1">
        <v>899</v>
      </c>
    </row>
    <row r="387" spans="1:22" x14ac:dyDescent="0.15">
      <c r="A387" s="2" t="str">
        <f>"CM81"</f>
        <v>CM81</v>
      </c>
      <c r="B387" s="2" t="str">
        <f>"重庆支社"</f>
        <v>重庆支社</v>
      </c>
      <c r="C387" s="2" t="str">
        <f>"PR 贵阳方圆荟海豚购物广场1(CM81)"</f>
        <v>PR 贵阳方圆荟海豚购物广场1(CM81)</v>
      </c>
      <c r="D387" s="2" t="str">
        <f t="shared" si="422"/>
        <v>2026</v>
      </c>
      <c r="E387" s="2" t="str">
        <f t="shared" si="423"/>
        <v>夏</v>
      </c>
      <c r="F387" s="2" t="str">
        <f t="shared" si="424"/>
        <v>一般毛衣(SWEATER)(KW)</v>
      </c>
      <c r="H387" s="2" t="str">
        <f t="shared" si="425"/>
        <v>PRKWG2303M</v>
      </c>
      <c r="I387" s="2" t="str">
        <f t="shared" si="452"/>
        <v>(99)MIX99</v>
      </c>
      <c r="J387" s="2" t="str">
        <f t="shared" si="467"/>
        <v>160</v>
      </c>
      <c r="K387" s="2" t="str">
        <f t="shared" si="468"/>
        <v>PRKWG2303M99160</v>
      </c>
      <c r="L387" s="2" t="str">
        <f t="shared" si="427"/>
        <v>899</v>
      </c>
      <c r="M387" s="1">
        <v>1</v>
      </c>
      <c r="N387" s="1">
        <v>899</v>
      </c>
      <c r="O387" s="1">
        <v>1</v>
      </c>
      <c r="P387" s="1">
        <v>899</v>
      </c>
      <c r="Q387" s="1">
        <v>0</v>
      </c>
      <c r="R387" s="1">
        <v>0</v>
      </c>
      <c r="S387" s="1">
        <v>1</v>
      </c>
      <c r="T387" s="1">
        <v>899</v>
      </c>
      <c r="U387" s="1">
        <v>2</v>
      </c>
      <c r="V387" s="1">
        <v>1798</v>
      </c>
    </row>
    <row r="388" spans="1:22" x14ac:dyDescent="0.15">
      <c r="A388" s="2" t="str">
        <f>"CM81"</f>
        <v>CM81</v>
      </c>
      <c r="B388" s="2" t="str">
        <f>"重庆支社"</f>
        <v>重庆支社</v>
      </c>
      <c r="C388" s="2" t="str">
        <f>"PR 贵阳方圆荟海豚购物广场1(CM81)"</f>
        <v>PR 贵阳方圆荟海豚购物广场1(CM81)</v>
      </c>
      <c r="D388" s="2" t="str">
        <f t="shared" si="422"/>
        <v>2026</v>
      </c>
      <c r="E388" s="2" t="str">
        <f t="shared" si="423"/>
        <v>夏</v>
      </c>
      <c r="F388" s="2" t="str">
        <f t="shared" si="424"/>
        <v>一般毛衣(SWEATER)(KW)</v>
      </c>
      <c r="H388" s="2" t="str">
        <f t="shared" si="425"/>
        <v>PRKWG2303M</v>
      </c>
      <c r="I388" s="2" t="str">
        <f t="shared" si="452"/>
        <v>(99)MIX99</v>
      </c>
      <c r="J388" s="2" t="str">
        <f t="shared" si="469"/>
        <v>165</v>
      </c>
      <c r="K388" s="2" t="str">
        <f t="shared" si="470"/>
        <v>PRKWG2303M99165</v>
      </c>
      <c r="L388" s="2" t="str">
        <f t="shared" si="427"/>
        <v>899</v>
      </c>
      <c r="M388" s="1">
        <v>1</v>
      </c>
      <c r="N388" s="1">
        <v>899</v>
      </c>
      <c r="O388" s="1">
        <v>1</v>
      </c>
      <c r="P388" s="1">
        <v>899</v>
      </c>
      <c r="Q388" s="1">
        <v>0</v>
      </c>
      <c r="R388" s="1">
        <v>0</v>
      </c>
      <c r="S388" s="1">
        <v>0</v>
      </c>
      <c r="T388" s="1">
        <v>0</v>
      </c>
      <c r="U388" s="1">
        <v>1</v>
      </c>
      <c r="V388" s="1">
        <v>899</v>
      </c>
    </row>
    <row r="389" spans="1:22" x14ac:dyDescent="0.15">
      <c r="A389" s="2" t="str">
        <f t="shared" ref="A389:A391" si="471">"CM84"</f>
        <v>CM84</v>
      </c>
      <c r="B389" s="2" t="str">
        <f t="shared" ref="B389:B391" si="472">"上海支社"</f>
        <v>上海支社</v>
      </c>
      <c r="C389" s="2" t="str">
        <f t="shared" ref="C389:C391" si="473">"PR 上海汇金(CM84)"</f>
        <v>PR 上海汇金(CM84)</v>
      </c>
      <c r="D389" s="2" t="str">
        <f t="shared" si="422"/>
        <v>2026</v>
      </c>
      <c r="E389" s="2" t="str">
        <f t="shared" si="423"/>
        <v>夏</v>
      </c>
      <c r="F389" s="2" t="str">
        <f t="shared" si="424"/>
        <v>一般毛衣(SWEATER)(KW)</v>
      </c>
      <c r="H389" s="2" t="str">
        <f t="shared" si="425"/>
        <v>PRKWG2303M</v>
      </c>
      <c r="I389" s="2" t="str">
        <f t="shared" si="452"/>
        <v>(99)MIX99</v>
      </c>
      <c r="J389" s="2" t="str">
        <f t="shared" si="467"/>
        <v>160</v>
      </c>
      <c r="K389" s="2" t="str">
        <f t="shared" si="468"/>
        <v>PRKWG2303M99160</v>
      </c>
      <c r="L389" s="2" t="str">
        <f t="shared" si="427"/>
        <v>899</v>
      </c>
      <c r="M389" s="1">
        <v>1</v>
      </c>
      <c r="N389" s="1">
        <v>899</v>
      </c>
      <c r="O389" s="1">
        <v>1</v>
      </c>
      <c r="P389" s="1">
        <v>899</v>
      </c>
      <c r="Q389" s="1">
        <v>0</v>
      </c>
      <c r="R389" s="1">
        <v>0</v>
      </c>
      <c r="S389" s="1">
        <v>1</v>
      </c>
      <c r="T389" s="1">
        <v>899</v>
      </c>
      <c r="U389" s="1">
        <v>2</v>
      </c>
      <c r="V389" s="1">
        <v>1798</v>
      </c>
    </row>
    <row r="390" spans="1:22" x14ac:dyDescent="0.15">
      <c r="A390" s="2" t="str">
        <f t="shared" si="471"/>
        <v>CM84</v>
      </c>
      <c r="B390" s="2" t="str">
        <f t="shared" si="472"/>
        <v>上海支社</v>
      </c>
      <c r="C390" s="2" t="str">
        <f t="shared" si="473"/>
        <v>PR 上海汇金(CM84)</v>
      </c>
      <c r="D390" s="2" t="str">
        <f t="shared" si="422"/>
        <v>2026</v>
      </c>
      <c r="E390" s="2" t="str">
        <f t="shared" si="423"/>
        <v>夏</v>
      </c>
      <c r="F390" s="2" t="str">
        <f t="shared" si="424"/>
        <v>一般毛衣(SWEATER)(KW)</v>
      </c>
      <c r="H390" s="2" t="str">
        <f t="shared" si="425"/>
        <v>PRKWG2303M</v>
      </c>
      <c r="I390" s="2" t="str">
        <f t="shared" si="452"/>
        <v>(99)MIX99</v>
      </c>
      <c r="J390" s="2" t="str">
        <f t="shared" si="469"/>
        <v>165</v>
      </c>
      <c r="K390" s="2" t="str">
        <f t="shared" si="470"/>
        <v>PRKWG2303M99165</v>
      </c>
      <c r="L390" s="2" t="str">
        <f t="shared" si="427"/>
        <v>899</v>
      </c>
      <c r="M390" s="1">
        <v>2</v>
      </c>
      <c r="N390" s="1">
        <v>1798</v>
      </c>
      <c r="O390" s="1">
        <v>2</v>
      </c>
      <c r="P390" s="1">
        <v>1798</v>
      </c>
      <c r="Q390" s="1">
        <v>0</v>
      </c>
      <c r="R390" s="1">
        <v>0</v>
      </c>
      <c r="S390" s="1">
        <v>0</v>
      </c>
      <c r="T390" s="1">
        <v>0</v>
      </c>
      <c r="U390" s="1">
        <v>2</v>
      </c>
      <c r="V390" s="1">
        <v>1798</v>
      </c>
    </row>
    <row r="391" spans="1:22" x14ac:dyDescent="0.15">
      <c r="A391" s="2" t="str">
        <f t="shared" si="471"/>
        <v>CM84</v>
      </c>
      <c r="B391" s="2" t="str">
        <f t="shared" si="472"/>
        <v>上海支社</v>
      </c>
      <c r="C391" s="2" t="str">
        <f t="shared" si="473"/>
        <v>PR 上海汇金(CM84)</v>
      </c>
      <c r="D391" s="2" t="str">
        <f t="shared" si="422"/>
        <v>2026</v>
      </c>
      <c r="E391" s="2" t="str">
        <f t="shared" si="423"/>
        <v>夏</v>
      </c>
      <c r="F391" s="2" t="str">
        <f t="shared" si="424"/>
        <v>一般毛衣(SWEATER)(KW)</v>
      </c>
      <c r="H391" s="2" t="str">
        <f t="shared" si="425"/>
        <v>PRKWG2303M</v>
      </c>
      <c r="I391" s="2" t="str">
        <f t="shared" si="452"/>
        <v>(99)MIX99</v>
      </c>
      <c r="J391" s="2" t="str">
        <f>"170"</f>
        <v>170</v>
      </c>
      <c r="K391" s="2" t="str">
        <f>"PRKWG2303M99170"</f>
        <v>PRKWG2303M99170</v>
      </c>
      <c r="L391" s="2" t="str">
        <f t="shared" si="427"/>
        <v>899</v>
      </c>
      <c r="M391" s="1">
        <v>1</v>
      </c>
      <c r="N391" s="1">
        <v>899</v>
      </c>
      <c r="O391" s="1">
        <v>1</v>
      </c>
      <c r="P391" s="1">
        <v>899</v>
      </c>
      <c r="Q391" s="1">
        <v>0</v>
      </c>
      <c r="R391" s="1">
        <v>0</v>
      </c>
      <c r="S391" s="1">
        <v>0</v>
      </c>
      <c r="T391" s="1">
        <v>0</v>
      </c>
      <c r="U391" s="1">
        <v>1</v>
      </c>
      <c r="V391" s="1">
        <v>899</v>
      </c>
    </row>
    <row r="392" spans="1:22" x14ac:dyDescent="0.15">
      <c r="A392" s="2" t="str">
        <f t="shared" ref="A392:A394" si="474">"CM9V"</f>
        <v>CM9V</v>
      </c>
      <c r="B392" s="2" t="str">
        <f t="shared" ref="B392:B397" si="475">"西北支社"</f>
        <v>西北支社</v>
      </c>
      <c r="C392" s="2" t="str">
        <f t="shared" ref="C392:C394" si="476">"PR 宝鸡开元(CM9V)"</f>
        <v>PR 宝鸡开元(CM9V)</v>
      </c>
      <c r="D392" s="2" t="str">
        <f t="shared" si="422"/>
        <v>2026</v>
      </c>
      <c r="E392" s="2" t="str">
        <f t="shared" si="423"/>
        <v>夏</v>
      </c>
      <c r="F392" s="2" t="str">
        <f t="shared" si="424"/>
        <v>一般毛衣(SWEATER)(KW)</v>
      </c>
      <c r="H392" s="2" t="str">
        <f t="shared" si="425"/>
        <v>PRKWG2303M</v>
      </c>
      <c r="I392" s="2" t="str">
        <f t="shared" si="452"/>
        <v>(99)MIX99</v>
      </c>
      <c r="J392" s="2" t="str">
        <f>"160"</f>
        <v>160</v>
      </c>
      <c r="K392" s="2" t="str">
        <f>"PRKWG2303M99160"</f>
        <v>PRKWG2303M99160</v>
      </c>
      <c r="L392" s="2" t="str">
        <f t="shared" si="427"/>
        <v>899</v>
      </c>
      <c r="M392" s="1">
        <v>2</v>
      </c>
      <c r="N392" s="1">
        <v>1798</v>
      </c>
      <c r="O392" s="1">
        <v>2</v>
      </c>
      <c r="P392" s="1">
        <v>1798</v>
      </c>
      <c r="Q392" s="1">
        <v>0</v>
      </c>
      <c r="R392" s="1">
        <v>0</v>
      </c>
      <c r="S392" s="1">
        <v>1</v>
      </c>
      <c r="T392" s="1">
        <v>899</v>
      </c>
      <c r="U392" s="1">
        <v>3</v>
      </c>
      <c r="V392" s="1">
        <v>2697</v>
      </c>
    </row>
    <row r="393" spans="1:22" x14ac:dyDescent="0.15">
      <c r="A393" s="2" t="str">
        <f t="shared" si="474"/>
        <v>CM9V</v>
      </c>
      <c r="B393" s="2" t="str">
        <f t="shared" si="475"/>
        <v>西北支社</v>
      </c>
      <c r="C393" s="2" t="str">
        <f t="shared" si="476"/>
        <v>PR 宝鸡开元(CM9V)</v>
      </c>
      <c r="D393" s="2" t="str">
        <f t="shared" si="422"/>
        <v>2026</v>
      </c>
      <c r="E393" s="2" t="str">
        <f t="shared" si="423"/>
        <v>夏</v>
      </c>
      <c r="F393" s="2" t="str">
        <f t="shared" si="424"/>
        <v>一般毛衣(SWEATER)(KW)</v>
      </c>
      <c r="H393" s="2" t="str">
        <f t="shared" si="425"/>
        <v>PRKWG2303M</v>
      </c>
      <c r="I393" s="2" t="str">
        <f t="shared" si="452"/>
        <v>(99)MIX99</v>
      </c>
      <c r="J393" s="2" t="str">
        <f>"165"</f>
        <v>165</v>
      </c>
      <c r="K393" s="2" t="str">
        <f>"PRKWG2303M99165"</f>
        <v>PRKWG2303M99165</v>
      </c>
      <c r="L393" s="2" t="str">
        <f t="shared" si="427"/>
        <v>899</v>
      </c>
      <c r="M393" s="1">
        <v>2</v>
      </c>
      <c r="N393" s="1">
        <v>1798</v>
      </c>
      <c r="O393" s="1">
        <v>2</v>
      </c>
      <c r="P393" s="1">
        <v>1798</v>
      </c>
      <c r="Q393" s="1">
        <v>0</v>
      </c>
      <c r="R393" s="1">
        <v>0</v>
      </c>
      <c r="S393" s="1">
        <v>0</v>
      </c>
      <c r="T393" s="1">
        <v>0</v>
      </c>
      <c r="U393" s="1">
        <v>2</v>
      </c>
      <c r="V393" s="1">
        <v>1798</v>
      </c>
    </row>
    <row r="394" spans="1:22" x14ac:dyDescent="0.15">
      <c r="A394" s="2" t="str">
        <f t="shared" si="474"/>
        <v>CM9V</v>
      </c>
      <c r="B394" s="2" t="str">
        <f t="shared" si="475"/>
        <v>西北支社</v>
      </c>
      <c r="C394" s="2" t="str">
        <f t="shared" si="476"/>
        <v>PR 宝鸡开元(CM9V)</v>
      </c>
      <c r="D394" s="2" t="str">
        <f t="shared" si="422"/>
        <v>2026</v>
      </c>
      <c r="E394" s="2" t="str">
        <f t="shared" si="423"/>
        <v>夏</v>
      </c>
      <c r="F394" s="2" t="str">
        <f t="shared" si="424"/>
        <v>一般毛衣(SWEATER)(KW)</v>
      </c>
      <c r="H394" s="2" t="str">
        <f t="shared" si="425"/>
        <v>PRKWG2303M</v>
      </c>
      <c r="I394" s="2" t="str">
        <f t="shared" si="452"/>
        <v>(99)MIX99</v>
      </c>
      <c r="J394" s="2" t="str">
        <f>"170"</f>
        <v>170</v>
      </c>
      <c r="K394" s="2" t="str">
        <f>"PRKWG2303M99170"</f>
        <v>PRKWG2303M99170</v>
      </c>
      <c r="L394" s="2" t="str">
        <f t="shared" si="427"/>
        <v>899</v>
      </c>
      <c r="M394" s="1">
        <v>1</v>
      </c>
      <c r="N394" s="1">
        <v>899</v>
      </c>
      <c r="O394" s="1">
        <v>1</v>
      </c>
      <c r="P394" s="1">
        <v>899</v>
      </c>
      <c r="Q394" s="1">
        <v>0</v>
      </c>
      <c r="R394" s="1">
        <v>0</v>
      </c>
      <c r="S394" s="1">
        <v>0</v>
      </c>
      <c r="T394" s="1">
        <v>0</v>
      </c>
      <c r="U394" s="1">
        <v>1</v>
      </c>
      <c r="V394" s="1">
        <v>899</v>
      </c>
    </row>
    <row r="395" spans="1:22" x14ac:dyDescent="0.15">
      <c r="A395" s="2" t="str">
        <f t="shared" ref="A395:A397" si="477">"CMAG"</f>
        <v>CMAG</v>
      </c>
      <c r="B395" s="2" t="str">
        <f t="shared" si="475"/>
        <v>西北支社</v>
      </c>
      <c r="C395" s="2" t="str">
        <f t="shared" ref="C395:C397" si="478">"PR 乌鲁木齐砂之船(CMAG)"</f>
        <v>PR 乌鲁木齐砂之船(CMAG)</v>
      </c>
      <c r="D395" s="2" t="str">
        <f t="shared" si="422"/>
        <v>2026</v>
      </c>
      <c r="E395" s="2" t="str">
        <f t="shared" si="423"/>
        <v>夏</v>
      </c>
      <c r="F395" s="2" t="str">
        <f t="shared" si="424"/>
        <v>一般毛衣(SWEATER)(KW)</v>
      </c>
      <c r="H395" s="2" t="str">
        <f t="shared" si="425"/>
        <v>PRKWG2303M</v>
      </c>
      <c r="I395" s="2" t="str">
        <f t="shared" si="452"/>
        <v>(99)MIX99</v>
      </c>
      <c r="J395" s="2" t="str">
        <f>"160"</f>
        <v>160</v>
      </c>
      <c r="K395" s="2" t="str">
        <f>"PRKWG2303M99160"</f>
        <v>PRKWG2303M99160</v>
      </c>
      <c r="L395" s="2" t="str">
        <f t="shared" si="427"/>
        <v>899</v>
      </c>
      <c r="M395" s="1">
        <v>3</v>
      </c>
      <c r="N395" s="1">
        <v>2697</v>
      </c>
      <c r="O395" s="1">
        <v>3</v>
      </c>
      <c r="P395" s="1">
        <v>2697</v>
      </c>
      <c r="Q395" s="1">
        <v>0</v>
      </c>
      <c r="R395" s="1">
        <v>0</v>
      </c>
      <c r="S395" s="1">
        <v>0</v>
      </c>
      <c r="T395" s="1">
        <v>0</v>
      </c>
      <c r="U395" s="1">
        <v>3</v>
      </c>
      <c r="V395" s="1">
        <v>2697</v>
      </c>
    </row>
    <row r="396" spans="1:22" x14ac:dyDescent="0.15">
      <c r="A396" s="2" t="str">
        <f t="shared" si="477"/>
        <v>CMAG</v>
      </c>
      <c r="B396" s="2" t="str">
        <f t="shared" si="475"/>
        <v>西北支社</v>
      </c>
      <c r="C396" s="2" t="str">
        <f t="shared" si="478"/>
        <v>PR 乌鲁木齐砂之船(CMAG)</v>
      </c>
      <c r="D396" s="2" t="str">
        <f t="shared" si="422"/>
        <v>2026</v>
      </c>
      <c r="E396" s="2" t="str">
        <f t="shared" si="423"/>
        <v>夏</v>
      </c>
      <c r="F396" s="2" t="str">
        <f t="shared" si="424"/>
        <v>一般毛衣(SWEATER)(KW)</v>
      </c>
      <c r="H396" s="2" t="str">
        <f t="shared" si="425"/>
        <v>PRKWG2303M</v>
      </c>
      <c r="I396" s="2" t="str">
        <f t="shared" si="452"/>
        <v>(99)MIX99</v>
      </c>
      <c r="J396" s="2" t="str">
        <f>"165"</f>
        <v>165</v>
      </c>
      <c r="K396" s="2" t="str">
        <f>"PRKWG2303M99165"</f>
        <v>PRKWG2303M99165</v>
      </c>
      <c r="L396" s="2" t="str">
        <f t="shared" si="427"/>
        <v>899</v>
      </c>
      <c r="M396" s="1">
        <v>2</v>
      </c>
      <c r="N396" s="1">
        <v>1798</v>
      </c>
      <c r="O396" s="1">
        <v>2</v>
      </c>
      <c r="P396" s="1">
        <v>1798</v>
      </c>
      <c r="Q396" s="1">
        <v>0</v>
      </c>
      <c r="R396" s="1">
        <v>0</v>
      </c>
      <c r="S396" s="1">
        <v>0</v>
      </c>
      <c r="T396" s="1">
        <v>0</v>
      </c>
      <c r="U396" s="1">
        <v>2</v>
      </c>
      <c r="V396" s="1">
        <v>1798</v>
      </c>
    </row>
    <row r="397" spans="1:22" x14ac:dyDescent="0.15">
      <c r="A397" s="2" t="str">
        <f t="shared" si="477"/>
        <v>CMAG</v>
      </c>
      <c r="B397" s="2" t="str">
        <f t="shared" si="475"/>
        <v>西北支社</v>
      </c>
      <c r="C397" s="2" t="str">
        <f t="shared" si="478"/>
        <v>PR 乌鲁木齐砂之船(CMAG)</v>
      </c>
      <c r="D397" s="2" t="str">
        <f t="shared" si="422"/>
        <v>2026</v>
      </c>
      <c r="E397" s="2" t="str">
        <f t="shared" si="423"/>
        <v>夏</v>
      </c>
      <c r="F397" s="2" t="str">
        <f t="shared" si="424"/>
        <v>一般毛衣(SWEATER)(KW)</v>
      </c>
      <c r="H397" s="2" t="str">
        <f t="shared" si="425"/>
        <v>PRKWG2303M</v>
      </c>
      <c r="I397" s="2" t="str">
        <f t="shared" si="452"/>
        <v>(99)MIX99</v>
      </c>
      <c r="J397" s="2" t="str">
        <f>"170"</f>
        <v>170</v>
      </c>
      <c r="K397" s="2" t="str">
        <f>"PRKWG2303M99170"</f>
        <v>PRKWG2303M99170</v>
      </c>
      <c r="L397" s="2" t="str">
        <f t="shared" si="427"/>
        <v>899</v>
      </c>
      <c r="M397" s="1">
        <v>3</v>
      </c>
      <c r="N397" s="1">
        <v>2697</v>
      </c>
      <c r="O397" s="1">
        <v>3</v>
      </c>
      <c r="P397" s="1">
        <v>2697</v>
      </c>
      <c r="Q397" s="1">
        <v>0</v>
      </c>
      <c r="R397" s="1">
        <v>0</v>
      </c>
      <c r="S397" s="1">
        <v>0</v>
      </c>
      <c r="T397" s="1">
        <v>0</v>
      </c>
      <c r="U397" s="1">
        <v>3</v>
      </c>
      <c r="V397" s="1">
        <v>2697</v>
      </c>
    </row>
    <row r="398" spans="1:22" x14ac:dyDescent="0.15">
      <c r="A398" s="2" t="str">
        <f t="shared" ref="A398:A400" si="479">"CMCU"</f>
        <v>CMCU</v>
      </c>
      <c r="B398" s="2" t="str">
        <f t="shared" ref="B398:B400" si="480">"华中支社"</f>
        <v>华中支社</v>
      </c>
      <c r="C398" s="2" t="str">
        <f t="shared" ref="C398:C400" si="481">"PR 长沙星沙永旺梦乐城(CMCU)"</f>
        <v>PR 长沙星沙永旺梦乐城(CMCU)</v>
      </c>
      <c r="D398" s="2" t="str">
        <f t="shared" si="422"/>
        <v>2026</v>
      </c>
      <c r="E398" s="2" t="str">
        <f t="shared" si="423"/>
        <v>夏</v>
      </c>
      <c r="F398" s="2" t="str">
        <f t="shared" si="424"/>
        <v>一般毛衣(SWEATER)(KW)</v>
      </c>
      <c r="H398" s="2" t="str">
        <f t="shared" si="425"/>
        <v>PRKWG2303M</v>
      </c>
      <c r="I398" s="2" t="str">
        <f t="shared" si="452"/>
        <v>(99)MIX99</v>
      </c>
      <c r="J398" s="2" t="str">
        <f t="shared" ref="J398:J401" si="482">"160"</f>
        <v>160</v>
      </c>
      <c r="K398" s="2" t="str">
        <f>"PRKWG2303M99160"</f>
        <v>PRKWG2303M99160</v>
      </c>
      <c r="L398" s="2" t="str">
        <f t="shared" si="427"/>
        <v>899</v>
      </c>
      <c r="M398" s="1">
        <v>2</v>
      </c>
      <c r="N398" s="1">
        <v>1798</v>
      </c>
      <c r="O398" s="1">
        <v>2</v>
      </c>
      <c r="P398" s="1">
        <v>1798</v>
      </c>
      <c r="Q398" s="1">
        <v>0</v>
      </c>
      <c r="R398" s="1">
        <v>0</v>
      </c>
      <c r="S398" s="1">
        <v>0</v>
      </c>
      <c r="T398" s="1">
        <v>0</v>
      </c>
      <c r="U398" s="1">
        <v>2</v>
      </c>
      <c r="V398" s="1">
        <v>1798</v>
      </c>
    </row>
    <row r="399" spans="1:22" x14ac:dyDescent="0.15">
      <c r="A399" s="2" t="str">
        <f t="shared" si="479"/>
        <v>CMCU</v>
      </c>
      <c r="B399" s="2" t="str">
        <f t="shared" si="480"/>
        <v>华中支社</v>
      </c>
      <c r="C399" s="2" t="str">
        <f t="shared" si="481"/>
        <v>PR 长沙星沙永旺梦乐城(CMCU)</v>
      </c>
      <c r="D399" s="2" t="str">
        <f t="shared" si="422"/>
        <v>2026</v>
      </c>
      <c r="E399" s="2" t="str">
        <f t="shared" si="423"/>
        <v>夏</v>
      </c>
      <c r="F399" s="2" t="str">
        <f t="shared" si="424"/>
        <v>一般毛衣(SWEATER)(KW)</v>
      </c>
      <c r="H399" s="2" t="str">
        <f t="shared" si="425"/>
        <v>PRKWG2303M</v>
      </c>
      <c r="I399" s="2" t="str">
        <f t="shared" si="452"/>
        <v>(99)MIX99</v>
      </c>
      <c r="J399" s="2" t="str">
        <f>"165"</f>
        <v>165</v>
      </c>
      <c r="K399" s="2" t="str">
        <f>"PRKWG2303M99165"</f>
        <v>PRKWG2303M99165</v>
      </c>
      <c r="L399" s="2" t="str">
        <f t="shared" si="427"/>
        <v>899</v>
      </c>
      <c r="M399" s="1">
        <v>1</v>
      </c>
      <c r="N399" s="1">
        <v>899</v>
      </c>
      <c r="O399" s="1">
        <v>1</v>
      </c>
      <c r="P399" s="1">
        <v>899</v>
      </c>
      <c r="Q399" s="1">
        <v>0</v>
      </c>
      <c r="R399" s="1">
        <v>0</v>
      </c>
      <c r="S399" s="1">
        <v>0</v>
      </c>
      <c r="T399" s="1">
        <v>0</v>
      </c>
      <c r="U399" s="1">
        <v>1</v>
      </c>
      <c r="V399" s="1">
        <v>899</v>
      </c>
    </row>
    <row r="400" spans="1:22" x14ac:dyDescent="0.15">
      <c r="A400" s="2" t="str">
        <f t="shared" si="479"/>
        <v>CMCU</v>
      </c>
      <c r="B400" s="2" t="str">
        <f t="shared" si="480"/>
        <v>华中支社</v>
      </c>
      <c r="C400" s="2" t="str">
        <f t="shared" si="481"/>
        <v>PR 长沙星沙永旺梦乐城(CMCU)</v>
      </c>
      <c r="D400" s="2" t="str">
        <f t="shared" si="422"/>
        <v>2026</v>
      </c>
      <c r="E400" s="2" t="str">
        <f t="shared" si="423"/>
        <v>夏</v>
      </c>
      <c r="F400" s="2" t="str">
        <f t="shared" si="424"/>
        <v>一般毛衣(SWEATER)(KW)</v>
      </c>
      <c r="H400" s="2" t="str">
        <f t="shared" si="425"/>
        <v>PRKWG2303M</v>
      </c>
      <c r="I400" s="2" t="str">
        <f t="shared" si="452"/>
        <v>(99)MIX99</v>
      </c>
      <c r="J400" s="2" t="str">
        <f>"170"</f>
        <v>170</v>
      </c>
      <c r="K400" s="2" t="str">
        <f>"PRKWG2303M99170"</f>
        <v>PRKWG2303M99170</v>
      </c>
      <c r="L400" s="2" t="str">
        <f t="shared" si="427"/>
        <v>899</v>
      </c>
      <c r="M400" s="1">
        <v>1</v>
      </c>
      <c r="N400" s="1">
        <v>899</v>
      </c>
      <c r="O400" s="1">
        <v>1</v>
      </c>
      <c r="P400" s="1">
        <v>899</v>
      </c>
      <c r="Q400" s="1">
        <v>0</v>
      </c>
      <c r="R400" s="1">
        <v>0</v>
      </c>
      <c r="S400" s="1">
        <v>0</v>
      </c>
      <c r="T400" s="1">
        <v>0</v>
      </c>
      <c r="U400" s="1">
        <v>1</v>
      </c>
      <c r="V400" s="1">
        <v>899</v>
      </c>
    </row>
    <row r="401" spans="1:22" x14ac:dyDescent="0.15">
      <c r="A401" s="2" t="str">
        <f>"CMDM"</f>
        <v>CMDM</v>
      </c>
      <c r="B401" s="2" t="str">
        <f>"华南支社"</f>
        <v>华南支社</v>
      </c>
      <c r="C401" s="2" t="str">
        <f>"PR南宁梦之岛水晶城(CMDM)"</f>
        <v>PR南宁梦之岛水晶城(CMDM)</v>
      </c>
      <c r="D401" s="2" t="str">
        <f t="shared" si="422"/>
        <v>2026</v>
      </c>
      <c r="E401" s="2" t="str">
        <f t="shared" si="423"/>
        <v>夏</v>
      </c>
      <c r="F401" s="2" t="str">
        <f t="shared" si="424"/>
        <v>一般毛衣(SWEATER)(KW)</v>
      </c>
      <c r="H401" s="2" t="str">
        <f t="shared" si="425"/>
        <v>PRKWG2303M</v>
      </c>
      <c r="I401" s="2" t="str">
        <f t="shared" ref="I401:I408" si="483">"(99)MIX99"</f>
        <v>(99)MIX99</v>
      </c>
      <c r="J401" s="2" t="str">
        <f t="shared" si="482"/>
        <v>160</v>
      </c>
      <c r="K401" s="2" t="str">
        <f>"PRKWG2303M99160"</f>
        <v>PRKWG2303M99160</v>
      </c>
      <c r="L401" s="2" t="str">
        <f t="shared" si="427"/>
        <v>899</v>
      </c>
      <c r="M401" s="1">
        <v>2</v>
      </c>
      <c r="N401" s="1">
        <v>1798</v>
      </c>
      <c r="O401" s="1">
        <v>2</v>
      </c>
      <c r="P401" s="1">
        <v>1798</v>
      </c>
      <c r="Q401" s="1">
        <v>0</v>
      </c>
      <c r="R401" s="1">
        <v>0</v>
      </c>
      <c r="S401" s="1">
        <v>1</v>
      </c>
      <c r="T401" s="1">
        <v>899</v>
      </c>
      <c r="U401" s="1">
        <v>3</v>
      </c>
      <c r="V401" s="1">
        <v>2697</v>
      </c>
    </row>
    <row r="402" spans="1:22" x14ac:dyDescent="0.15">
      <c r="A402" s="2" t="str">
        <f t="shared" ref="A402:A405" si="484">"CME4"</f>
        <v>CME4</v>
      </c>
      <c r="B402" s="2" t="str">
        <f t="shared" ref="B402:B405" si="485">"上海支社"</f>
        <v>上海支社</v>
      </c>
      <c r="C402" s="2" t="str">
        <f t="shared" ref="C402:C405" si="486">"PR 上海来福士(CME4)"</f>
        <v>PR 上海来福士(CME4)</v>
      </c>
      <c r="D402" s="2" t="str">
        <f t="shared" ref="D402:D449" si="487">"2026"</f>
        <v>2026</v>
      </c>
      <c r="E402" s="2" t="str">
        <f t="shared" ref="E402:E449" si="488">"夏"</f>
        <v>夏</v>
      </c>
      <c r="F402" s="2" t="str">
        <f t="shared" ref="F402:F449" si="489">"一般毛衣(SWEATER)(KW)"</f>
        <v>一般毛衣(SWEATER)(KW)</v>
      </c>
      <c r="H402" s="2" t="str">
        <f t="shared" ref="H402:H449" si="490">"PRKWG2303M"</f>
        <v>PRKWG2303M</v>
      </c>
      <c r="I402" s="2" t="str">
        <f t="shared" si="483"/>
        <v>(99)MIX99</v>
      </c>
      <c r="J402" s="2" t="str">
        <f>"155"</f>
        <v>155</v>
      </c>
      <c r="K402" s="2" t="str">
        <f>"PRKWG2303M99155"</f>
        <v>PRKWG2303M99155</v>
      </c>
      <c r="L402" s="2" t="str">
        <f t="shared" ref="L402:L449" si="491">"899"</f>
        <v>899</v>
      </c>
      <c r="M402" s="1">
        <v>2</v>
      </c>
      <c r="N402" s="1">
        <v>1798</v>
      </c>
      <c r="O402" s="1">
        <v>2</v>
      </c>
      <c r="P402" s="1">
        <v>1798</v>
      </c>
      <c r="Q402" s="1">
        <v>0</v>
      </c>
      <c r="R402" s="1">
        <v>0</v>
      </c>
      <c r="S402" s="1">
        <v>2</v>
      </c>
      <c r="T402" s="1">
        <v>1798</v>
      </c>
      <c r="U402" s="1">
        <v>4</v>
      </c>
      <c r="V402" s="1">
        <v>3596</v>
      </c>
    </row>
    <row r="403" spans="1:22" x14ac:dyDescent="0.15">
      <c r="A403" s="2" t="str">
        <f t="shared" si="484"/>
        <v>CME4</v>
      </c>
      <c r="B403" s="2" t="str">
        <f t="shared" si="485"/>
        <v>上海支社</v>
      </c>
      <c r="C403" s="2" t="str">
        <f t="shared" si="486"/>
        <v>PR 上海来福士(CME4)</v>
      </c>
      <c r="D403" s="2" t="str">
        <f t="shared" si="487"/>
        <v>2026</v>
      </c>
      <c r="E403" s="2" t="str">
        <f t="shared" si="488"/>
        <v>夏</v>
      </c>
      <c r="F403" s="2" t="str">
        <f t="shared" si="489"/>
        <v>一般毛衣(SWEATER)(KW)</v>
      </c>
      <c r="H403" s="2" t="str">
        <f t="shared" si="490"/>
        <v>PRKWG2303M</v>
      </c>
      <c r="I403" s="2" t="str">
        <f t="shared" si="483"/>
        <v>(99)MIX99</v>
      </c>
      <c r="J403" s="2" t="str">
        <f>"160"</f>
        <v>160</v>
      </c>
      <c r="K403" s="2" t="str">
        <f>"PRKWG2303M99160"</f>
        <v>PRKWG2303M99160</v>
      </c>
      <c r="L403" s="2" t="str">
        <f t="shared" si="491"/>
        <v>899</v>
      </c>
      <c r="M403" s="1">
        <v>13</v>
      </c>
      <c r="N403" s="1">
        <v>11687</v>
      </c>
      <c r="O403" s="1">
        <v>13</v>
      </c>
      <c r="P403" s="1">
        <v>11687</v>
      </c>
      <c r="Q403" s="1">
        <v>0</v>
      </c>
      <c r="R403" s="1">
        <v>0</v>
      </c>
      <c r="S403" s="1">
        <v>3</v>
      </c>
      <c r="T403" s="1">
        <v>2697</v>
      </c>
      <c r="U403" s="1">
        <v>16</v>
      </c>
      <c r="V403" s="1">
        <v>14384</v>
      </c>
    </row>
    <row r="404" spans="1:22" x14ac:dyDescent="0.15">
      <c r="A404" s="2" t="str">
        <f t="shared" si="484"/>
        <v>CME4</v>
      </c>
      <c r="B404" s="2" t="str">
        <f t="shared" si="485"/>
        <v>上海支社</v>
      </c>
      <c r="C404" s="2" t="str">
        <f t="shared" si="486"/>
        <v>PR 上海来福士(CME4)</v>
      </c>
      <c r="D404" s="2" t="str">
        <f t="shared" si="487"/>
        <v>2026</v>
      </c>
      <c r="E404" s="2" t="str">
        <f t="shared" si="488"/>
        <v>夏</v>
      </c>
      <c r="F404" s="2" t="str">
        <f t="shared" si="489"/>
        <v>一般毛衣(SWEATER)(KW)</v>
      </c>
      <c r="H404" s="2" t="str">
        <f t="shared" si="490"/>
        <v>PRKWG2303M</v>
      </c>
      <c r="I404" s="2" t="str">
        <f t="shared" si="483"/>
        <v>(99)MIX99</v>
      </c>
      <c r="J404" s="2" t="str">
        <f>"165"</f>
        <v>165</v>
      </c>
      <c r="K404" s="2" t="str">
        <f>"PRKWG2303M99165"</f>
        <v>PRKWG2303M99165</v>
      </c>
      <c r="L404" s="2" t="str">
        <f t="shared" si="491"/>
        <v>899</v>
      </c>
      <c r="M404" s="1">
        <v>7</v>
      </c>
      <c r="N404" s="1">
        <v>6293</v>
      </c>
      <c r="O404" s="1">
        <v>7</v>
      </c>
      <c r="P404" s="1">
        <v>6293</v>
      </c>
      <c r="Q404" s="1">
        <v>0</v>
      </c>
      <c r="R404" s="1">
        <v>0</v>
      </c>
      <c r="S404" s="1">
        <v>6</v>
      </c>
      <c r="T404" s="1">
        <v>5394</v>
      </c>
      <c r="U404" s="1">
        <v>13</v>
      </c>
      <c r="V404" s="1">
        <v>11687</v>
      </c>
    </row>
    <row r="405" spans="1:22" x14ac:dyDescent="0.15">
      <c r="A405" s="2" t="str">
        <f t="shared" si="484"/>
        <v>CME4</v>
      </c>
      <c r="B405" s="2" t="str">
        <f t="shared" si="485"/>
        <v>上海支社</v>
      </c>
      <c r="C405" s="2" t="str">
        <f t="shared" si="486"/>
        <v>PR 上海来福士(CME4)</v>
      </c>
      <c r="D405" s="2" t="str">
        <f t="shared" si="487"/>
        <v>2026</v>
      </c>
      <c r="E405" s="2" t="str">
        <f t="shared" si="488"/>
        <v>夏</v>
      </c>
      <c r="F405" s="2" t="str">
        <f t="shared" si="489"/>
        <v>一般毛衣(SWEATER)(KW)</v>
      </c>
      <c r="H405" s="2" t="str">
        <f t="shared" si="490"/>
        <v>PRKWG2303M</v>
      </c>
      <c r="I405" s="2" t="str">
        <f t="shared" si="483"/>
        <v>(99)MIX99</v>
      </c>
      <c r="J405" s="2" t="str">
        <f>"170"</f>
        <v>170</v>
      </c>
      <c r="K405" s="2" t="str">
        <f>"PRKWG2303M99170"</f>
        <v>PRKWG2303M99170</v>
      </c>
      <c r="L405" s="2" t="str">
        <f t="shared" si="491"/>
        <v>899</v>
      </c>
      <c r="M405" s="1">
        <v>5</v>
      </c>
      <c r="N405" s="1">
        <v>4495</v>
      </c>
      <c r="O405" s="1">
        <v>5</v>
      </c>
      <c r="P405" s="1">
        <v>4495</v>
      </c>
      <c r="Q405" s="1">
        <v>0</v>
      </c>
      <c r="R405" s="1">
        <v>0</v>
      </c>
      <c r="S405" s="1">
        <v>1</v>
      </c>
      <c r="T405" s="1">
        <v>899</v>
      </c>
      <c r="U405" s="1">
        <v>6</v>
      </c>
      <c r="V405" s="1">
        <v>5394</v>
      </c>
    </row>
    <row r="406" spans="1:22" x14ac:dyDescent="0.15">
      <c r="A406" s="2" t="str">
        <f t="shared" ref="A406:A408" si="492">"CMHX"</f>
        <v>CMHX</v>
      </c>
      <c r="B406" s="2" t="str">
        <f t="shared" ref="B406:B408" si="493">"川南支社"</f>
        <v>川南支社</v>
      </c>
      <c r="C406" s="2" t="str">
        <f t="shared" ref="C406:C408" si="494">"PR 昆明柏联百盛(CMHX)"</f>
        <v>PR 昆明柏联百盛(CMHX)</v>
      </c>
      <c r="D406" s="2" t="str">
        <f t="shared" si="487"/>
        <v>2026</v>
      </c>
      <c r="E406" s="2" t="str">
        <f t="shared" si="488"/>
        <v>夏</v>
      </c>
      <c r="F406" s="2" t="str">
        <f t="shared" si="489"/>
        <v>一般毛衣(SWEATER)(KW)</v>
      </c>
      <c r="H406" s="2" t="str">
        <f t="shared" si="490"/>
        <v>PRKWG2303M</v>
      </c>
      <c r="I406" s="2" t="str">
        <f t="shared" si="483"/>
        <v>(99)MIX99</v>
      </c>
      <c r="J406" s="2" t="str">
        <f>"160"</f>
        <v>160</v>
      </c>
      <c r="K406" s="2" t="str">
        <f>"PRKWG2303M99160"</f>
        <v>PRKWG2303M99160</v>
      </c>
      <c r="L406" s="2" t="str">
        <f t="shared" si="491"/>
        <v>899</v>
      </c>
      <c r="M406" s="1">
        <v>2</v>
      </c>
      <c r="N406" s="1">
        <v>1798</v>
      </c>
      <c r="O406" s="1">
        <v>2</v>
      </c>
      <c r="P406" s="1">
        <v>1798</v>
      </c>
      <c r="Q406" s="1">
        <v>0</v>
      </c>
      <c r="R406" s="1">
        <v>0</v>
      </c>
      <c r="S406" s="1">
        <v>0</v>
      </c>
      <c r="T406" s="1">
        <v>0</v>
      </c>
      <c r="U406" s="1">
        <v>2</v>
      </c>
      <c r="V406" s="1">
        <v>1798</v>
      </c>
    </row>
    <row r="407" spans="1:22" x14ac:dyDescent="0.15">
      <c r="A407" s="2" t="str">
        <f t="shared" si="492"/>
        <v>CMHX</v>
      </c>
      <c r="B407" s="2" t="str">
        <f t="shared" si="493"/>
        <v>川南支社</v>
      </c>
      <c r="C407" s="2" t="str">
        <f t="shared" si="494"/>
        <v>PR 昆明柏联百盛(CMHX)</v>
      </c>
      <c r="D407" s="2" t="str">
        <f t="shared" si="487"/>
        <v>2026</v>
      </c>
      <c r="E407" s="2" t="str">
        <f t="shared" si="488"/>
        <v>夏</v>
      </c>
      <c r="F407" s="2" t="str">
        <f t="shared" si="489"/>
        <v>一般毛衣(SWEATER)(KW)</v>
      </c>
      <c r="H407" s="2" t="str">
        <f t="shared" si="490"/>
        <v>PRKWG2303M</v>
      </c>
      <c r="I407" s="2" t="str">
        <f t="shared" si="483"/>
        <v>(99)MIX99</v>
      </c>
      <c r="J407" s="2" t="str">
        <f>"165"</f>
        <v>165</v>
      </c>
      <c r="K407" s="2" t="str">
        <f>"PRKWG2303M99165"</f>
        <v>PRKWG2303M99165</v>
      </c>
      <c r="L407" s="2" t="str">
        <f t="shared" si="491"/>
        <v>899</v>
      </c>
      <c r="M407" s="1">
        <v>2</v>
      </c>
      <c r="N407" s="1">
        <v>1798</v>
      </c>
      <c r="O407" s="1">
        <v>2</v>
      </c>
      <c r="P407" s="1">
        <v>1798</v>
      </c>
      <c r="Q407" s="1">
        <v>0</v>
      </c>
      <c r="R407" s="1">
        <v>0</v>
      </c>
      <c r="S407" s="1">
        <v>0</v>
      </c>
      <c r="T407" s="1">
        <v>0</v>
      </c>
      <c r="U407" s="1">
        <v>2</v>
      </c>
      <c r="V407" s="1">
        <v>1798</v>
      </c>
    </row>
    <row r="408" spans="1:22" x14ac:dyDescent="0.15">
      <c r="A408" s="2" t="str">
        <f t="shared" si="492"/>
        <v>CMHX</v>
      </c>
      <c r="B408" s="2" t="str">
        <f t="shared" si="493"/>
        <v>川南支社</v>
      </c>
      <c r="C408" s="2" t="str">
        <f t="shared" si="494"/>
        <v>PR 昆明柏联百盛(CMHX)</v>
      </c>
      <c r="D408" s="2" t="str">
        <f t="shared" si="487"/>
        <v>2026</v>
      </c>
      <c r="E408" s="2" t="str">
        <f t="shared" si="488"/>
        <v>夏</v>
      </c>
      <c r="F408" s="2" t="str">
        <f t="shared" si="489"/>
        <v>一般毛衣(SWEATER)(KW)</v>
      </c>
      <c r="H408" s="2" t="str">
        <f t="shared" si="490"/>
        <v>PRKWG2303M</v>
      </c>
      <c r="I408" s="2" t="str">
        <f t="shared" si="483"/>
        <v>(99)MIX99</v>
      </c>
      <c r="J408" s="2" t="str">
        <f>"170"</f>
        <v>170</v>
      </c>
      <c r="K408" s="2" t="str">
        <f>"PRKWG2303M99170"</f>
        <v>PRKWG2303M99170</v>
      </c>
      <c r="L408" s="2" t="str">
        <f t="shared" si="491"/>
        <v>899</v>
      </c>
      <c r="M408" s="1">
        <v>1</v>
      </c>
      <c r="N408" s="1">
        <v>899</v>
      </c>
      <c r="O408" s="1">
        <v>1</v>
      </c>
      <c r="P408" s="1">
        <v>899</v>
      </c>
      <c r="Q408" s="1">
        <v>0</v>
      </c>
      <c r="R408" s="1">
        <v>0</v>
      </c>
      <c r="S408" s="1">
        <v>0</v>
      </c>
      <c r="T408" s="1">
        <v>0</v>
      </c>
      <c r="U408" s="1">
        <v>1</v>
      </c>
      <c r="V408" s="1">
        <v>899</v>
      </c>
    </row>
    <row r="409" spans="1:22" x14ac:dyDescent="0.15">
      <c r="A409" s="2" t="str">
        <f t="shared" ref="A409:A412" si="495">"CMJS"</f>
        <v>CMJS</v>
      </c>
      <c r="B409" s="2" t="str">
        <f t="shared" ref="B409:B412" si="496">"东北支社"</f>
        <v>东北支社</v>
      </c>
      <c r="C409" s="2" t="str">
        <f t="shared" ref="C409:C412" si="497">"PR 长春欧亚卖场(CMJS)"</f>
        <v>PR 长春欧亚卖场(CMJS)</v>
      </c>
      <c r="D409" s="2" t="str">
        <f t="shared" si="487"/>
        <v>2026</v>
      </c>
      <c r="E409" s="2" t="str">
        <f t="shared" si="488"/>
        <v>夏</v>
      </c>
      <c r="F409" s="2" t="str">
        <f t="shared" si="489"/>
        <v>一般毛衣(SWEATER)(KW)</v>
      </c>
      <c r="H409" s="2" t="str">
        <f t="shared" si="490"/>
        <v>PRKWG2303M</v>
      </c>
      <c r="I409" s="2" t="str">
        <f t="shared" ref="I409:I412" si="498">"(99)MIX99"</f>
        <v>(99)MIX99</v>
      </c>
      <c r="J409" s="2" t="str">
        <f>"155"</f>
        <v>155</v>
      </c>
      <c r="K409" s="2" t="str">
        <f>"PRKWG2303M99155"</f>
        <v>PRKWG2303M99155</v>
      </c>
      <c r="L409" s="2" t="str">
        <f t="shared" si="491"/>
        <v>899</v>
      </c>
      <c r="M409" s="1">
        <v>1</v>
      </c>
      <c r="N409" s="1">
        <v>899</v>
      </c>
      <c r="O409" s="1">
        <v>1</v>
      </c>
      <c r="P409" s="1">
        <v>899</v>
      </c>
      <c r="Q409" s="1">
        <v>0</v>
      </c>
      <c r="R409" s="1">
        <v>0</v>
      </c>
      <c r="S409" s="1">
        <v>0</v>
      </c>
      <c r="T409" s="1">
        <v>0</v>
      </c>
      <c r="U409" s="1">
        <v>1</v>
      </c>
      <c r="V409" s="1">
        <v>899</v>
      </c>
    </row>
    <row r="410" spans="1:22" x14ac:dyDescent="0.15">
      <c r="A410" s="2" t="str">
        <f t="shared" si="495"/>
        <v>CMJS</v>
      </c>
      <c r="B410" s="2" t="str">
        <f t="shared" si="496"/>
        <v>东北支社</v>
      </c>
      <c r="C410" s="2" t="str">
        <f t="shared" si="497"/>
        <v>PR 长春欧亚卖场(CMJS)</v>
      </c>
      <c r="D410" s="2" t="str">
        <f t="shared" si="487"/>
        <v>2026</v>
      </c>
      <c r="E410" s="2" t="str">
        <f t="shared" si="488"/>
        <v>夏</v>
      </c>
      <c r="F410" s="2" t="str">
        <f t="shared" si="489"/>
        <v>一般毛衣(SWEATER)(KW)</v>
      </c>
      <c r="H410" s="2" t="str">
        <f t="shared" si="490"/>
        <v>PRKWG2303M</v>
      </c>
      <c r="I410" s="2" t="str">
        <f t="shared" si="498"/>
        <v>(99)MIX99</v>
      </c>
      <c r="J410" s="2" t="str">
        <f>"160"</f>
        <v>160</v>
      </c>
      <c r="K410" s="2" t="str">
        <f>"PRKWG2303M99160"</f>
        <v>PRKWG2303M99160</v>
      </c>
      <c r="L410" s="2" t="str">
        <f t="shared" si="491"/>
        <v>899</v>
      </c>
      <c r="M410" s="1">
        <v>4</v>
      </c>
      <c r="N410" s="1">
        <v>3596</v>
      </c>
      <c r="O410" s="1">
        <v>4</v>
      </c>
      <c r="P410" s="1">
        <v>3596</v>
      </c>
      <c r="Q410" s="1">
        <v>0</v>
      </c>
      <c r="R410" s="1">
        <v>0</v>
      </c>
      <c r="S410" s="1">
        <v>1</v>
      </c>
      <c r="T410" s="1">
        <v>899</v>
      </c>
      <c r="U410" s="1">
        <v>5</v>
      </c>
      <c r="V410" s="1">
        <v>4495</v>
      </c>
    </row>
    <row r="411" spans="1:22" x14ac:dyDescent="0.15">
      <c r="A411" s="2" t="str">
        <f t="shared" si="495"/>
        <v>CMJS</v>
      </c>
      <c r="B411" s="2" t="str">
        <f t="shared" si="496"/>
        <v>东北支社</v>
      </c>
      <c r="C411" s="2" t="str">
        <f t="shared" si="497"/>
        <v>PR 长春欧亚卖场(CMJS)</v>
      </c>
      <c r="D411" s="2" t="str">
        <f t="shared" si="487"/>
        <v>2026</v>
      </c>
      <c r="E411" s="2" t="str">
        <f t="shared" si="488"/>
        <v>夏</v>
      </c>
      <c r="F411" s="2" t="str">
        <f t="shared" si="489"/>
        <v>一般毛衣(SWEATER)(KW)</v>
      </c>
      <c r="H411" s="2" t="str">
        <f t="shared" si="490"/>
        <v>PRKWG2303M</v>
      </c>
      <c r="I411" s="2" t="str">
        <f t="shared" si="498"/>
        <v>(99)MIX99</v>
      </c>
      <c r="J411" s="2" t="str">
        <f>"165"</f>
        <v>165</v>
      </c>
      <c r="K411" s="2" t="str">
        <f>"PRKWG2303M99165"</f>
        <v>PRKWG2303M99165</v>
      </c>
      <c r="L411" s="2" t="str">
        <f t="shared" si="491"/>
        <v>899</v>
      </c>
      <c r="M411" s="1">
        <v>2</v>
      </c>
      <c r="N411" s="1">
        <v>1798</v>
      </c>
      <c r="O411" s="1">
        <v>2</v>
      </c>
      <c r="P411" s="1">
        <v>1798</v>
      </c>
      <c r="Q411" s="1">
        <v>0</v>
      </c>
      <c r="R411" s="1">
        <v>0</v>
      </c>
      <c r="S411" s="1">
        <v>0</v>
      </c>
      <c r="T411" s="1">
        <v>0</v>
      </c>
      <c r="U411" s="1">
        <v>2</v>
      </c>
      <c r="V411" s="1">
        <v>1798</v>
      </c>
    </row>
    <row r="412" spans="1:22" x14ac:dyDescent="0.15">
      <c r="A412" s="2" t="str">
        <f t="shared" si="495"/>
        <v>CMJS</v>
      </c>
      <c r="B412" s="2" t="str">
        <f t="shared" si="496"/>
        <v>东北支社</v>
      </c>
      <c r="C412" s="2" t="str">
        <f t="shared" si="497"/>
        <v>PR 长春欧亚卖场(CMJS)</v>
      </c>
      <c r="D412" s="2" t="str">
        <f t="shared" si="487"/>
        <v>2026</v>
      </c>
      <c r="E412" s="2" t="str">
        <f t="shared" si="488"/>
        <v>夏</v>
      </c>
      <c r="F412" s="2" t="str">
        <f t="shared" si="489"/>
        <v>一般毛衣(SWEATER)(KW)</v>
      </c>
      <c r="H412" s="2" t="str">
        <f t="shared" si="490"/>
        <v>PRKWG2303M</v>
      </c>
      <c r="I412" s="2" t="str">
        <f t="shared" si="498"/>
        <v>(99)MIX99</v>
      </c>
      <c r="J412" s="2" t="str">
        <f>"170"</f>
        <v>170</v>
      </c>
      <c r="K412" s="2" t="str">
        <f>"PRKWG2303M99170"</f>
        <v>PRKWG2303M99170</v>
      </c>
      <c r="L412" s="2" t="str">
        <f t="shared" si="491"/>
        <v>899</v>
      </c>
      <c r="M412" s="1">
        <v>3</v>
      </c>
      <c r="N412" s="1">
        <v>2697</v>
      </c>
      <c r="O412" s="1">
        <v>3</v>
      </c>
      <c r="P412" s="1">
        <v>2697</v>
      </c>
      <c r="Q412" s="1">
        <v>0</v>
      </c>
      <c r="R412" s="1">
        <v>0</v>
      </c>
      <c r="S412" s="1">
        <v>0</v>
      </c>
      <c r="T412" s="1">
        <v>0</v>
      </c>
      <c r="U412" s="1">
        <v>3</v>
      </c>
      <c r="V412" s="1">
        <v>2697</v>
      </c>
    </row>
    <row r="413" spans="1:22" x14ac:dyDescent="0.15">
      <c r="A413" s="2" t="str">
        <f t="shared" ref="A413:A416" si="499">"CMK3"</f>
        <v>CMK3</v>
      </c>
      <c r="B413" s="2" t="str">
        <f t="shared" ref="B413:B416" si="500">"浙江支社"</f>
        <v>浙江支社</v>
      </c>
      <c r="C413" s="2" t="str">
        <f t="shared" ref="C413:C416" si="501">"PR 杭州武林银泰百货(CMK3)"</f>
        <v>PR 杭州武林银泰百货(CMK3)</v>
      </c>
      <c r="D413" s="2" t="str">
        <f t="shared" si="487"/>
        <v>2026</v>
      </c>
      <c r="E413" s="2" t="str">
        <f t="shared" si="488"/>
        <v>夏</v>
      </c>
      <c r="F413" s="2" t="str">
        <f t="shared" si="489"/>
        <v>一般毛衣(SWEATER)(KW)</v>
      </c>
      <c r="H413" s="2" t="str">
        <f t="shared" si="490"/>
        <v>PRKWG2303M</v>
      </c>
      <c r="I413" s="2" t="str">
        <f t="shared" ref="I413:I422" si="502">"(99)MIX99"</f>
        <v>(99)MIX99</v>
      </c>
      <c r="J413" s="2" t="str">
        <f>"155"</f>
        <v>155</v>
      </c>
      <c r="K413" s="2" t="str">
        <f>"PRKWG2303M99155"</f>
        <v>PRKWG2303M99155</v>
      </c>
      <c r="L413" s="2" t="str">
        <f t="shared" si="491"/>
        <v>899</v>
      </c>
      <c r="M413" s="1">
        <v>2</v>
      </c>
      <c r="N413" s="1">
        <v>1798</v>
      </c>
      <c r="O413" s="1">
        <v>2</v>
      </c>
      <c r="P413" s="1">
        <v>1798</v>
      </c>
      <c r="Q413" s="1">
        <v>0</v>
      </c>
      <c r="R413" s="1">
        <v>0</v>
      </c>
      <c r="S413" s="1">
        <v>0</v>
      </c>
      <c r="T413" s="1">
        <v>0</v>
      </c>
      <c r="U413" s="1">
        <v>2</v>
      </c>
      <c r="V413" s="1">
        <v>1798</v>
      </c>
    </row>
    <row r="414" spans="1:22" x14ac:dyDescent="0.15">
      <c r="A414" s="2" t="str">
        <f t="shared" si="499"/>
        <v>CMK3</v>
      </c>
      <c r="B414" s="2" t="str">
        <f t="shared" si="500"/>
        <v>浙江支社</v>
      </c>
      <c r="C414" s="2" t="str">
        <f t="shared" si="501"/>
        <v>PR 杭州武林银泰百货(CMK3)</v>
      </c>
      <c r="D414" s="2" t="str">
        <f t="shared" si="487"/>
        <v>2026</v>
      </c>
      <c r="E414" s="2" t="str">
        <f t="shared" si="488"/>
        <v>夏</v>
      </c>
      <c r="F414" s="2" t="str">
        <f t="shared" si="489"/>
        <v>一般毛衣(SWEATER)(KW)</v>
      </c>
      <c r="H414" s="2" t="str">
        <f t="shared" si="490"/>
        <v>PRKWG2303M</v>
      </c>
      <c r="I414" s="2" t="str">
        <f t="shared" si="502"/>
        <v>(99)MIX99</v>
      </c>
      <c r="J414" s="2" t="str">
        <f>"160"</f>
        <v>160</v>
      </c>
      <c r="K414" s="2" t="str">
        <f>"PRKWG2303M99160"</f>
        <v>PRKWG2303M99160</v>
      </c>
      <c r="L414" s="2" t="str">
        <f t="shared" si="491"/>
        <v>899</v>
      </c>
      <c r="M414" s="1">
        <v>6</v>
      </c>
      <c r="N414" s="1">
        <v>5394</v>
      </c>
      <c r="O414" s="1">
        <v>6</v>
      </c>
      <c r="P414" s="1">
        <v>5394</v>
      </c>
      <c r="Q414" s="1">
        <v>0</v>
      </c>
      <c r="R414" s="1">
        <v>0</v>
      </c>
      <c r="S414" s="1">
        <v>0</v>
      </c>
      <c r="T414" s="1">
        <v>0</v>
      </c>
      <c r="U414" s="1">
        <v>6</v>
      </c>
      <c r="V414" s="1">
        <v>5394</v>
      </c>
    </row>
    <row r="415" spans="1:22" x14ac:dyDescent="0.15">
      <c r="A415" s="2" t="str">
        <f t="shared" si="499"/>
        <v>CMK3</v>
      </c>
      <c r="B415" s="2" t="str">
        <f t="shared" si="500"/>
        <v>浙江支社</v>
      </c>
      <c r="C415" s="2" t="str">
        <f t="shared" si="501"/>
        <v>PR 杭州武林银泰百货(CMK3)</v>
      </c>
      <c r="D415" s="2" t="str">
        <f t="shared" si="487"/>
        <v>2026</v>
      </c>
      <c r="E415" s="2" t="str">
        <f t="shared" si="488"/>
        <v>夏</v>
      </c>
      <c r="F415" s="2" t="str">
        <f t="shared" si="489"/>
        <v>一般毛衣(SWEATER)(KW)</v>
      </c>
      <c r="H415" s="2" t="str">
        <f t="shared" si="490"/>
        <v>PRKWG2303M</v>
      </c>
      <c r="I415" s="2" t="str">
        <f t="shared" si="502"/>
        <v>(99)MIX99</v>
      </c>
      <c r="J415" s="2" t="str">
        <f>"165"</f>
        <v>165</v>
      </c>
      <c r="K415" s="2" t="str">
        <f>"PRKWG2303M99165"</f>
        <v>PRKWG2303M99165</v>
      </c>
      <c r="L415" s="2" t="str">
        <f t="shared" si="491"/>
        <v>899</v>
      </c>
      <c r="M415" s="1">
        <v>6</v>
      </c>
      <c r="N415" s="1">
        <v>5394</v>
      </c>
      <c r="O415" s="1">
        <v>6</v>
      </c>
      <c r="P415" s="1">
        <v>5394</v>
      </c>
      <c r="Q415" s="1">
        <v>0</v>
      </c>
      <c r="R415" s="1">
        <v>0</v>
      </c>
      <c r="S415" s="1">
        <v>0</v>
      </c>
      <c r="T415" s="1">
        <v>0</v>
      </c>
      <c r="U415" s="1">
        <v>6</v>
      </c>
      <c r="V415" s="1">
        <v>5394</v>
      </c>
    </row>
    <row r="416" spans="1:22" x14ac:dyDescent="0.15">
      <c r="A416" s="2" t="str">
        <f t="shared" si="499"/>
        <v>CMK3</v>
      </c>
      <c r="B416" s="2" t="str">
        <f t="shared" si="500"/>
        <v>浙江支社</v>
      </c>
      <c r="C416" s="2" t="str">
        <f t="shared" si="501"/>
        <v>PR 杭州武林银泰百货(CMK3)</v>
      </c>
      <c r="D416" s="2" t="str">
        <f t="shared" si="487"/>
        <v>2026</v>
      </c>
      <c r="E416" s="2" t="str">
        <f t="shared" si="488"/>
        <v>夏</v>
      </c>
      <c r="F416" s="2" t="str">
        <f t="shared" si="489"/>
        <v>一般毛衣(SWEATER)(KW)</v>
      </c>
      <c r="H416" s="2" t="str">
        <f t="shared" si="490"/>
        <v>PRKWG2303M</v>
      </c>
      <c r="I416" s="2" t="str">
        <f t="shared" si="502"/>
        <v>(99)MIX99</v>
      </c>
      <c r="J416" s="2" t="str">
        <f>"170"</f>
        <v>170</v>
      </c>
      <c r="K416" s="2" t="str">
        <f>"PRKWG2303M99170"</f>
        <v>PRKWG2303M99170</v>
      </c>
      <c r="L416" s="2" t="str">
        <f t="shared" si="491"/>
        <v>899</v>
      </c>
      <c r="M416" s="1">
        <v>2</v>
      </c>
      <c r="N416" s="1">
        <v>1798</v>
      </c>
      <c r="O416" s="1">
        <v>2</v>
      </c>
      <c r="P416" s="1">
        <v>1798</v>
      </c>
      <c r="Q416" s="1">
        <v>0</v>
      </c>
      <c r="R416" s="1">
        <v>0</v>
      </c>
      <c r="S416" s="1">
        <v>0</v>
      </c>
      <c r="T416" s="1">
        <v>0</v>
      </c>
      <c r="U416" s="1">
        <v>2</v>
      </c>
      <c r="V416" s="1">
        <v>1798</v>
      </c>
    </row>
    <row r="417" spans="1:22" x14ac:dyDescent="0.15">
      <c r="A417" s="2" t="str">
        <f t="shared" ref="A417:A419" si="503">"CMKD"</f>
        <v>CMKD</v>
      </c>
      <c r="B417" s="2" t="str">
        <f t="shared" ref="B417:B419" si="504">"重庆支社"</f>
        <v>重庆支社</v>
      </c>
      <c r="C417" s="2" t="str">
        <f t="shared" ref="C417:C419" si="505">"PR 重庆新世界(CMKD)"</f>
        <v>PR 重庆新世界(CMKD)</v>
      </c>
      <c r="D417" s="2" t="str">
        <f t="shared" si="487"/>
        <v>2026</v>
      </c>
      <c r="E417" s="2" t="str">
        <f t="shared" si="488"/>
        <v>夏</v>
      </c>
      <c r="F417" s="2" t="str">
        <f t="shared" si="489"/>
        <v>一般毛衣(SWEATER)(KW)</v>
      </c>
      <c r="H417" s="2" t="str">
        <f t="shared" si="490"/>
        <v>PRKWG2303M</v>
      </c>
      <c r="I417" s="2" t="str">
        <f t="shared" si="502"/>
        <v>(99)MIX99</v>
      </c>
      <c r="J417" s="2" t="str">
        <f>"160"</f>
        <v>160</v>
      </c>
      <c r="K417" s="2" t="str">
        <f>"PRKWG2303M99160"</f>
        <v>PRKWG2303M99160</v>
      </c>
      <c r="L417" s="2" t="str">
        <f t="shared" si="491"/>
        <v>899</v>
      </c>
      <c r="M417" s="1">
        <v>2</v>
      </c>
      <c r="N417" s="1">
        <v>1798</v>
      </c>
      <c r="O417" s="1">
        <v>2</v>
      </c>
      <c r="P417" s="1">
        <v>1798</v>
      </c>
      <c r="Q417" s="1">
        <v>0</v>
      </c>
      <c r="R417" s="1">
        <v>0</v>
      </c>
      <c r="S417" s="1">
        <v>2</v>
      </c>
      <c r="T417" s="1">
        <v>1798</v>
      </c>
      <c r="U417" s="1">
        <v>4</v>
      </c>
      <c r="V417" s="1">
        <v>3596</v>
      </c>
    </row>
    <row r="418" spans="1:22" x14ac:dyDescent="0.15">
      <c r="A418" s="2" t="str">
        <f t="shared" si="503"/>
        <v>CMKD</v>
      </c>
      <c r="B418" s="2" t="str">
        <f t="shared" si="504"/>
        <v>重庆支社</v>
      </c>
      <c r="C418" s="2" t="str">
        <f t="shared" si="505"/>
        <v>PR 重庆新世界(CMKD)</v>
      </c>
      <c r="D418" s="2" t="str">
        <f t="shared" si="487"/>
        <v>2026</v>
      </c>
      <c r="E418" s="2" t="str">
        <f t="shared" si="488"/>
        <v>夏</v>
      </c>
      <c r="F418" s="2" t="str">
        <f t="shared" si="489"/>
        <v>一般毛衣(SWEATER)(KW)</v>
      </c>
      <c r="H418" s="2" t="str">
        <f t="shared" si="490"/>
        <v>PRKWG2303M</v>
      </c>
      <c r="I418" s="2" t="str">
        <f t="shared" si="502"/>
        <v>(99)MIX99</v>
      </c>
      <c r="J418" s="2" t="str">
        <f>"165"</f>
        <v>165</v>
      </c>
      <c r="K418" s="2" t="str">
        <f>"PRKWG2303M99165"</f>
        <v>PRKWG2303M99165</v>
      </c>
      <c r="L418" s="2" t="str">
        <f t="shared" si="491"/>
        <v>899</v>
      </c>
      <c r="M418" s="1">
        <v>1</v>
      </c>
      <c r="N418" s="1">
        <v>899</v>
      </c>
      <c r="O418" s="1">
        <v>1</v>
      </c>
      <c r="P418" s="1">
        <v>899</v>
      </c>
      <c r="Q418" s="1">
        <v>0</v>
      </c>
      <c r="R418" s="1">
        <v>0</v>
      </c>
      <c r="S418" s="1">
        <v>0</v>
      </c>
      <c r="T418" s="1">
        <v>0</v>
      </c>
      <c r="U418" s="1">
        <v>1</v>
      </c>
      <c r="V418" s="1">
        <v>899</v>
      </c>
    </row>
    <row r="419" spans="1:22" x14ac:dyDescent="0.15">
      <c r="A419" s="2" t="str">
        <f t="shared" si="503"/>
        <v>CMKD</v>
      </c>
      <c r="B419" s="2" t="str">
        <f t="shared" si="504"/>
        <v>重庆支社</v>
      </c>
      <c r="C419" s="2" t="str">
        <f t="shared" si="505"/>
        <v>PR 重庆新世界(CMKD)</v>
      </c>
      <c r="D419" s="2" t="str">
        <f t="shared" si="487"/>
        <v>2026</v>
      </c>
      <c r="E419" s="2" t="str">
        <f t="shared" si="488"/>
        <v>夏</v>
      </c>
      <c r="F419" s="2" t="str">
        <f t="shared" si="489"/>
        <v>一般毛衣(SWEATER)(KW)</v>
      </c>
      <c r="H419" s="2" t="str">
        <f t="shared" si="490"/>
        <v>PRKWG2303M</v>
      </c>
      <c r="I419" s="2" t="str">
        <f t="shared" si="502"/>
        <v>(99)MIX99</v>
      </c>
      <c r="J419" s="2" t="str">
        <f>"170"</f>
        <v>170</v>
      </c>
      <c r="K419" s="2" t="str">
        <f>"PRKWG2303M99170"</f>
        <v>PRKWG2303M99170</v>
      </c>
      <c r="L419" s="2" t="str">
        <f t="shared" si="491"/>
        <v>899</v>
      </c>
      <c r="M419" s="1">
        <v>0</v>
      </c>
      <c r="N419" s="1">
        <v>0</v>
      </c>
      <c r="O419" s="1">
        <v>0</v>
      </c>
      <c r="P419" s="1">
        <v>0</v>
      </c>
      <c r="Q419" s="1">
        <v>0</v>
      </c>
      <c r="R419" s="1">
        <v>0</v>
      </c>
      <c r="S419" s="1">
        <v>1</v>
      </c>
      <c r="T419" s="1">
        <v>899</v>
      </c>
      <c r="U419" s="1">
        <v>1</v>
      </c>
      <c r="V419" s="1">
        <v>899</v>
      </c>
    </row>
    <row r="420" spans="1:22" x14ac:dyDescent="0.15">
      <c r="A420" s="2" t="str">
        <f t="shared" ref="A420:A422" si="506">"CMKT"</f>
        <v>CMKT</v>
      </c>
      <c r="B420" s="2" t="str">
        <f t="shared" ref="B420:B422" si="507">"华中支社"</f>
        <v>华中支社</v>
      </c>
      <c r="C420" s="2" t="str">
        <f t="shared" ref="C420:C422" si="508">"PR 武汉万科未来中心(CMKT)"</f>
        <v>PR 武汉万科未来中心(CMKT)</v>
      </c>
      <c r="D420" s="2" t="str">
        <f t="shared" si="487"/>
        <v>2026</v>
      </c>
      <c r="E420" s="2" t="str">
        <f t="shared" si="488"/>
        <v>夏</v>
      </c>
      <c r="F420" s="2" t="str">
        <f t="shared" si="489"/>
        <v>一般毛衣(SWEATER)(KW)</v>
      </c>
      <c r="H420" s="2" t="str">
        <f t="shared" si="490"/>
        <v>PRKWG2303M</v>
      </c>
      <c r="I420" s="2" t="str">
        <f t="shared" si="502"/>
        <v>(99)MIX99</v>
      </c>
      <c r="J420" s="2" t="str">
        <f t="shared" ref="J420:J423" si="509">"160"</f>
        <v>160</v>
      </c>
      <c r="K420" s="2" t="str">
        <f>"PRKWG2303M99160"</f>
        <v>PRKWG2303M99160</v>
      </c>
      <c r="L420" s="2" t="str">
        <f t="shared" si="491"/>
        <v>899</v>
      </c>
      <c r="M420" s="1">
        <v>2</v>
      </c>
      <c r="N420" s="1">
        <v>1798</v>
      </c>
      <c r="O420" s="1">
        <v>2</v>
      </c>
      <c r="P420" s="1">
        <v>1798</v>
      </c>
      <c r="Q420" s="1">
        <v>0</v>
      </c>
      <c r="R420" s="1">
        <v>0</v>
      </c>
      <c r="S420" s="1">
        <v>0</v>
      </c>
      <c r="T420" s="1">
        <v>0</v>
      </c>
      <c r="U420" s="1">
        <v>2</v>
      </c>
      <c r="V420" s="1">
        <v>1798</v>
      </c>
    </row>
    <row r="421" spans="1:22" x14ac:dyDescent="0.15">
      <c r="A421" s="2" t="str">
        <f t="shared" si="506"/>
        <v>CMKT</v>
      </c>
      <c r="B421" s="2" t="str">
        <f t="shared" si="507"/>
        <v>华中支社</v>
      </c>
      <c r="C421" s="2" t="str">
        <f t="shared" si="508"/>
        <v>PR 武汉万科未来中心(CMKT)</v>
      </c>
      <c r="D421" s="2" t="str">
        <f t="shared" si="487"/>
        <v>2026</v>
      </c>
      <c r="E421" s="2" t="str">
        <f t="shared" si="488"/>
        <v>夏</v>
      </c>
      <c r="F421" s="2" t="str">
        <f t="shared" si="489"/>
        <v>一般毛衣(SWEATER)(KW)</v>
      </c>
      <c r="H421" s="2" t="str">
        <f t="shared" si="490"/>
        <v>PRKWG2303M</v>
      </c>
      <c r="I421" s="2" t="str">
        <f t="shared" si="502"/>
        <v>(99)MIX99</v>
      </c>
      <c r="J421" s="2" t="str">
        <f t="shared" ref="J421:J424" si="510">"165"</f>
        <v>165</v>
      </c>
      <c r="K421" s="2" t="str">
        <f>"PRKWG2303M99165"</f>
        <v>PRKWG2303M99165</v>
      </c>
      <c r="L421" s="2" t="str">
        <f t="shared" si="491"/>
        <v>899</v>
      </c>
      <c r="M421" s="1">
        <v>1</v>
      </c>
      <c r="N421" s="1">
        <v>899</v>
      </c>
      <c r="O421" s="1">
        <v>1</v>
      </c>
      <c r="P421" s="1">
        <v>899</v>
      </c>
      <c r="Q421" s="1">
        <v>0</v>
      </c>
      <c r="R421" s="1">
        <v>0</v>
      </c>
      <c r="S421" s="1">
        <v>0</v>
      </c>
      <c r="T421" s="1">
        <v>0</v>
      </c>
      <c r="U421" s="1">
        <v>1</v>
      </c>
      <c r="V421" s="1">
        <v>899</v>
      </c>
    </row>
    <row r="422" spans="1:22" x14ac:dyDescent="0.15">
      <c r="A422" s="2" t="str">
        <f t="shared" si="506"/>
        <v>CMKT</v>
      </c>
      <c r="B422" s="2" t="str">
        <f t="shared" si="507"/>
        <v>华中支社</v>
      </c>
      <c r="C422" s="2" t="str">
        <f t="shared" si="508"/>
        <v>PR 武汉万科未来中心(CMKT)</v>
      </c>
      <c r="D422" s="2" t="str">
        <f t="shared" si="487"/>
        <v>2026</v>
      </c>
      <c r="E422" s="2" t="str">
        <f t="shared" si="488"/>
        <v>夏</v>
      </c>
      <c r="F422" s="2" t="str">
        <f t="shared" si="489"/>
        <v>一般毛衣(SWEATER)(KW)</v>
      </c>
      <c r="H422" s="2" t="str">
        <f t="shared" si="490"/>
        <v>PRKWG2303M</v>
      </c>
      <c r="I422" s="2" t="str">
        <f t="shared" si="502"/>
        <v>(99)MIX99</v>
      </c>
      <c r="J422" s="2" t="str">
        <f>"170"</f>
        <v>170</v>
      </c>
      <c r="K422" s="2" t="str">
        <f>"PRKWG2303M99170"</f>
        <v>PRKWG2303M99170</v>
      </c>
      <c r="L422" s="2" t="str">
        <f t="shared" si="491"/>
        <v>899</v>
      </c>
      <c r="M422" s="1">
        <v>1</v>
      </c>
      <c r="N422" s="1">
        <v>899</v>
      </c>
      <c r="O422" s="1">
        <v>1</v>
      </c>
      <c r="P422" s="1">
        <v>899</v>
      </c>
      <c r="Q422" s="1">
        <v>0</v>
      </c>
      <c r="R422" s="1">
        <v>0</v>
      </c>
      <c r="S422" s="1">
        <v>0</v>
      </c>
      <c r="T422" s="1">
        <v>0</v>
      </c>
      <c r="U422" s="1">
        <v>1</v>
      </c>
      <c r="V422" s="1">
        <v>899</v>
      </c>
    </row>
    <row r="423" spans="1:22" x14ac:dyDescent="0.15">
      <c r="A423" s="2" t="str">
        <f t="shared" ref="A423:A424" si="511">"CMKZ"</f>
        <v>CMKZ</v>
      </c>
      <c r="B423" s="2" t="str">
        <f t="shared" ref="B423:B424" si="512">"东南支社"</f>
        <v>东南支社</v>
      </c>
      <c r="C423" s="2" t="str">
        <f t="shared" ref="C423:C424" si="513">"PR 南昌武商Mall南昌(CMKZ)"</f>
        <v>PR 南昌武商Mall南昌(CMKZ)</v>
      </c>
      <c r="D423" s="2" t="str">
        <f t="shared" si="487"/>
        <v>2026</v>
      </c>
      <c r="E423" s="2" t="str">
        <f t="shared" si="488"/>
        <v>夏</v>
      </c>
      <c r="F423" s="2" t="str">
        <f t="shared" si="489"/>
        <v>一般毛衣(SWEATER)(KW)</v>
      </c>
      <c r="H423" s="2" t="str">
        <f t="shared" si="490"/>
        <v>PRKWG2303M</v>
      </c>
      <c r="I423" s="2" t="str">
        <f t="shared" ref="I423:I427" si="514">"(99)MIX99"</f>
        <v>(99)MIX99</v>
      </c>
      <c r="J423" s="2" t="str">
        <f t="shared" si="509"/>
        <v>160</v>
      </c>
      <c r="K423" s="2" t="str">
        <f>"PRKWG2303M99160"</f>
        <v>PRKWG2303M99160</v>
      </c>
      <c r="L423" s="2" t="str">
        <f t="shared" si="491"/>
        <v>899</v>
      </c>
      <c r="M423" s="1">
        <v>2</v>
      </c>
      <c r="N423" s="1">
        <v>1798</v>
      </c>
      <c r="O423" s="1">
        <v>2</v>
      </c>
      <c r="P423" s="1">
        <v>1798</v>
      </c>
      <c r="Q423" s="1">
        <v>0</v>
      </c>
      <c r="R423" s="1">
        <v>0</v>
      </c>
      <c r="S423" s="1">
        <v>0</v>
      </c>
      <c r="T423" s="1">
        <v>0</v>
      </c>
      <c r="U423" s="1">
        <v>2</v>
      </c>
      <c r="V423" s="1">
        <v>1798</v>
      </c>
    </row>
    <row r="424" spans="1:22" x14ac:dyDescent="0.15">
      <c r="A424" s="2" t="str">
        <f t="shared" si="511"/>
        <v>CMKZ</v>
      </c>
      <c r="B424" s="2" t="str">
        <f t="shared" si="512"/>
        <v>东南支社</v>
      </c>
      <c r="C424" s="2" t="str">
        <f t="shared" si="513"/>
        <v>PR 南昌武商Mall南昌(CMKZ)</v>
      </c>
      <c r="D424" s="2" t="str">
        <f t="shared" si="487"/>
        <v>2026</v>
      </c>
      <c r="E424" s="2" t="str">
        <f t="shared" si="488"/>
        <v>夏</v>
      </c>
      <c r="F424" s="2" t="str">
        <f t="shared" si="489"/>
        <v>一般毛衣(SWEATER)(KW)</v>
      </c>
      <c r="H424" s="2" t="str">
        <f t="shared" si="490"/>
        <v>PRKWG2303M</v>
      </c>
      <c r="I424" s="2" t="str">
        <f t="shared" si="514"/>
        <v>(99)MIX99</v>
      </c>
      <c r="J424" s="2" t="str">
        <f t="shared" si="510"/>
        <v>165</v>
      </c>
      <c r="K424" s="2" t="str">
        <f>"PRKWG2303M99165"</f>
        <v>PRKWG2303M99165</v>
      </c>
      <c r="L424" s="2" t="str">
        <f t="shared" si="491"/>
        <v>899</v>
      </c>
      <c r="M424" s="1">
        <v>1</v>
      </c>
      <c r="N424" s="1">
        <v>899</v>
      </c>
      <c r="O424" s="1">
        <v>1</v>
      </c>
      <c r="P424" s="1">
        <v>899</v>
      </c>
      <c r="Q424" s="1">
        <v>0</v>
      </c>
      <c r="R424" s="1">
        <v>0</v>
      </c>
      <c r="S424" s="1">
        <v>0</v>
      </c>
      <c r="T424" s="1">
        <v>0</v>
      </c>
      <c r="U424" s="1">
        <v>1</v>
      </c>
      <c r="V424" s="1">
        <v>899</v>
      </c>
    </row>
    <row r="425" spans="1:22" x14ac:dyDescent="0.15">
      <c r="A425" s="2" t="str">
        <f t="shared" ref="A425:A427" si="515">"CML3"</f>
        <v>CML3</v>
      </c>
      <c r="B425" s="2" t="str">
        <f t="shared" ref="B425:B427" si="516">"河南支社"</f>
        <v>河南支社</v>
      </c>
      <c r="C425" s="2" t="str">
        <f t="shared" ref="C425:C427" si="517">"PR 南阳大统百货(CML3)"</f>
        <v>PR 南阳大统百货(CML3)</v>
      </c>
      <c r="D425" s="2" t="str">
        <f t="shared" si="487"/>
        <v>2026</v>
      </c>
      <c r="E425" s="2" t="str">
        <f t="shared" si="488"/>
        <v>夏</v>
      </c>
      <c r="F425" s="2" t="str">
        <f t="shared" si="489"/>
        <v>一般毛衣(SWEATER)(KW)</v>
      </c>
      <c r="H425" s="2" t="str">
        <f t="shared" si="490"/>
        <v>PRKWG2303M</v>
      </c>
      <c r="I425" s="2" t="str">
        <f t="shared" si="514"/>
        <v>(99)MIX99</v>
      </c>
      <c r="J425" s="2" t="str">
        <f>"160"</f>
        <v>160</v>
      </c>
      <c r="K425" s="2" t="str">
        <f>"PRKWG2303M99160"</f>
        <v>PRKWG2303M99160</v>
      </c>
      <c r="L425" s="2" t="str">
        <f t="shared" si="491"/>
        <v>899</v>
      </c>
      <c r="M425" s="1">
        <v>1</v>
      </c>
      <c r="N425" s="1">
        <v>899</v>
      </c>
      <c r="O425" s="1">
        <v>1</v>
      </c>
      <c r="P425" s="1">
        <v>899</v>
      </c>
      <c r="Q425" s="1">
        <v>0</v>
      </c>
      <c r="R425" s="1">
        <v>0</v>
      </c>
      <c r="S425" s="1">
        <v>0</v>
      </c>
      <c r="T425" s="1">
        <v>0</v>
      </c>
      <c r="U425" s="1">
        <v>1</v>
      </c>
      <c r="V425" s="1">
        <v>899</v>
      </c>
    </row>
    <row r="426" spans="1:22" x14ac:dyDescent="0.15">
      <c r="A426" s="2" t="str">
        <f t="shared" si="515"/>
        <v>CML3</v>
      </c>
      <c r="B426" s="2" t="str">
        <f t="shared" si="516"/>
        <v>河南支社</v>
      </c>
      <c r="C426" s="2" t="str">
        <f t="shared" si="517"/>
        <v>PR 南阳大统百货(CML3)</v>
      </c>
      <c r="D426" s="2" t="str">
        <f t="shared" si="487"/>
        <v>2026</v>
      </c>
      <c r="E426" s="2" t="str">
        <f t="shared" si="488"/>
        <v>夏</v>
      </c>
      <c r="F426" s="2" t="str">
        <f t="shared" si="489"/>
        <v>一般毛衣(SWEATER)(KW)</v>
      </c>
      <c r="H426" s="2" t="str">
        <f t="shared" si="490"/>
        <v>PRKWG2303M</v>
      </c>
      <c r="I426" s="2" t="str">
        <f t="shared" si="514"/>
        <v>(99)MIX99</v>
      </c>
      <c r="J426" s="2" t="str">
        <f>"165"</f>
        <v>165</v>
      </c>
      <c r="K426" s="2" t="str">
        <f>"PRKWG2303M99165"</f>
        <v>PRKWG2303M99165</v>
      </c>
      <c r="L426" s="2" t="str">
        <f t="shared" si="491"/>
        <v>899</v>
      </c>
      <c r="M426" s="1">
        <v>1</v>
      </c>
      <c r="N426" s="1">
        <v>899</v>
      </c>
      <c r="O426" s="1">
        <v>1</v>
      </c>
      <c r="P426" s="1">
        <v>899</v>
      </c>
      <c r="Q426" s="1">
        <v>0</v>
      </c>
      <c r="R426" s="1">
        <v>0</v>
      </c>
      <c r="S426" s="1">
        <v>0</v>
      </c>
      <c r="T426" s="1">
        <v>0</v>
      </c>
      <c r="U426" s="1">
        <v>1</v>
      </c>
      <c r="V426" s="1">
        <v>899</v>
      </c>
    </row>
    <row r="427" spans="1:22" x14ac:dyDescent="0.15">
      <c r="A427" s="2" t="str">
        <f t="shared" si="515"/>
        <v>CML3</v>
      </c>
      <c r="B427" s="2" t="str">
        <f t="shared" si="516"/>
        <v>河南支社</v>
      </c>
      <c r="C427" s="2" t="str">
        <f t="shared" si="517"/>
        <v>PR 南阳大统百货(CML3)</v>
      </c>
      <c r="D427" s="2" t="str">
        <f t="shared" si="487"/>
        <v>2026</v>
      </c>
      <c r="E427" s="2" t="str">
        <f t="shared" si="488"/>
        <v>夏</v>
      </c>
      <c r="F427" s="2" t="str">
        <f t="shared" si="489"/>
        <v>一般毛衣(SWEATER)(KW)</v>
      </c>
      <c r="H427" s="2" t="str">
        <f t="shared" si="490"/>
        <v>PRKWG2303M</v>
      </c>
      <c r="I427" s="2" t="str">
        <f t="shared" si="514"/>
        <v>(99)MIX99</v>
      </c>
      <c r="J427" s="2" t="str">
        <f>"170"</f>
        <v>170</v>
      </c>
      <c r="K427" s="2" t="str">
        <f>"PRKWG2303M99170"</f>
        <v>PRKWG2303M99170</v>
      </c>
      <c r="L427" s="2" t="str">
        <f t="shared" si="491"/>
        <v>899</v>
      </c>
      <c r="M427" s="1">
        <v>1</v>
      </c>
      <c r="N427" s="1">
        <v>899</v>
      </c>
      <c r="O427" s="1">
        <v>1</v>
      </c>
      <c r="P427" s="1">
        <v>899</v>
      </c>
      <c r="Q427" s="1">
        <v>0</v>
      </c>
      <c r="R427" s="1">
        <v>0</v>
      </c>
      <c r="S427" s="1">
        <v>0</v>
      </c>
      <c r="T427" s="1">
        <v>0</v>
      </c>
      <c r="U427" s="1">
        <v>1</v>
      </c>
      <c r="V427" s="1">
        <v>899</v>
      </c>
    </row>
    <row r="428" spans="1:22" x14ac:dyDescent="0.15">
      <c r="A428" s="2" t="str">
        <f t="shared" ref="A428:A431" si="518">"CML6"</f>
        <v>CML6</v>
      </c>
      <c r="B428" s="2" t="str">
        <f t="shared" ref="B428:B431" si="519">"华东支社"</f>
        <v>华东支社</v>
      </c>
      <c r="C428" s="2" t="str">
        <f t="shared" ref="C428:C431" si="520">"PR 南京河西建邺万达广场(CML6)"</f>
        <v>PR 南京河西建邺万达广场(CML6)</v>
      </c>
      <c r="D428" s="2" t="str">
        <f t="shared" si="487"/>
        <v>2026</v>
      </c>
      <c r="E428" s="2" t="str">
        <f t="shared" si="488"/>
        <v>夏</v>
      </c>
      <c r="F428" s="2" t="str">
        <f t="shared" si="489"/>
        <v>一般毛衣(SWEATER)(KW)</v>
      </c>
      <c r="H428" s="2" t="str">
        <f t="shared" si="490"/>
        <v>PRKWG2303M</v>
      </c>
      <c r="I428" s="2" t="str">
        <f t="shared" ref="I428:I447" si="521">"(99)MIX99"</f>
        <v>(99)MIX99</v>
      </c>
      <c r="J428" s="2" t="str">
        <f>"155"</f>
        <v>155</v>
      </c>
      <c r="K428" s="2" t="str">
        <f>"PRKWG2303M99155"</f>
        <v>PRKWG2303M99155</v>
      </c>
      <c r="L428" s="2" t="str">
        <f t="shared" si="491"/>
        <v>899</v>
      </c>
      <c r="M428" s="1">
        <v>1</v>
      </c>
      <c r="N428" s="1">
        <v>899</v>
      </c>
      <c r="O428" s="1">
        <v>1</v>
      </c>
      <c r="P428" s="1">
        <v>899</v>
      </c>
      <c r="Q428" s="1">
        <v>0</v>
      </c>
      <c r="R428" s="1">
        <v>0</v>
      </c>
      <c r="S428" s="1">
        <v>0</v>
      </c>
      <c r="T428" s="1">
        <v>0</v>
      </c>
      <c r="U428" s="1">
        <v>1</v>
      </c>
      <c r="V428" s="1">
        <v>899</v>
      </c>
    </row>
    <row r="429" spans="1:22" x14ac:dyDescent="0.15">
      <c r="A429" s="2" t="str">
        <f t="shared" si="518"/>
        <v>CML6</v>
      </c>
      <c r="B429" s="2" t="str">
        <f t="shared" si="519"/>
        <v>华东支社</v>
      </c>
      <c r="C429" s="2" t="str">
        <f t="shared" si="520"/>
        <v>PR 南京河西建邺万达广场(CML6)</v>
      </c>
      <c r="D429" s="2" t="str">
        <f t="shared" si="487"/>
        <v>2026</v>
      </c>
      <c r="E429" s="2" t="str">
        <f t="shared" si="488"/>
        <v>夏</v>
      </c>
      <c r="F429" s="2" t="str">
        <f t="shared" si="489"/>
        <v>一般毛衣(SWEATER)(KW)</v>
      </c>
      <c r="H429" s="2" t="str">
        <f t="shared" si="490"/>
        <v>PRKWG2303M</v>
      </c>
      <c r="I429" s="2" t="str">
        <f t="shared" si="521"/>
        <v>(99)MIX99</v>
      </c>
      <c r="J429" s="2" t="str">
        <f>"160"</f>
        <v>160</v>
      </c>
      <c r="K429" s="2" t="str">
        <f>"PRKWG2303M99160"</f>
        <v>PRKWG2303M99160</v>
      </c>
      <c r="L429" s="2" t="str">
        <f t="shared" si="491"/>
        <v>899</v>
      </c>
      <c r="M429" s="1">
        <v>2</v>
      </c>
      <c r="N429" s="1">
        <v>1798</v>
      </c>
      <c r="O429" s="1">
        <v>2</v>
      </c>
      <c r="P429" s="1">
        <v>1798</v>
      </c>
      <c r="Q429" s="1">
        <v>0</v>
      </c>
      <c r="R429" s="1">
        <v>0</v>
      </c>
      <c r="S429" s="1">
        <v>2</v>
      </c>
      <c r="T429" s="1">
        <v>1798</v>
      </c>
      <c r="U429" s="1">
        <v>4</v>
      </c>
      <c r="V429" s="1">
        <v>3596</v>
      </c>
    </row>
    <row r="430" spans="1:22" x14ac:dyDescent="0.15">
      <c r="A430" s="2" t="str">
        <f t="shared" si="518"/>
        <v>CML6</v>
      </c>
      <c r="B430" s="2" t="str">
        <f t="shared" si="519"/>
        <v>华东支社</v>
      </c>
      <c r="C430" s="2" t="str">
        <f t="shared" si="520"/>
        <v>PR 南京河西建邺万达广场(CML6)</v>
      </c>
      <c r="D430" s="2" t="str">
        <f t="shared" si="487"/>
        <v>2026</v>
      </c>
      <c r="E430" s="2" t="str">
        <f t="shared" si="488"/>
        <v>夏</v>
      </c>
      <c r="F430" s="2" t="str">
        <f t="shared" si="489"/>
        <v>一般毛衣(SWEATER)(KW)</v>
      </c>
      <c r="H430" s="2" t="str">
        <f t="shared" si="490"/>
        <v>PRKWG2303M</v>
      </c>
      <c r="I430" s="2" t="str">
        <f t="shared" si="521"/>
        <v>(99)MIX99</v>
      </c>
      <c r="J430" s="2" t="str">
        <f>"165"</f>
        <v>165</v>
      </c>
      <c r="K430" s="2" t="str">
        <f>"PRKWG2303M99165"</f>
        <v>PRKWG2303M99165</v>
      </c>
      <c r="L430" s="2" t="str">
        <f t="shared" si="491"/>
        <v>899</v>
      </c>
      <c r="M430" s="1">
        <v>3</v>
      </c>
      <c r="N430" s="1">
        <v>2697</v>
      </c>
      <c r="O430" s="1">
        <v>3</v>
      </c>
      <c r="P430" s="1">
        <v>2697</v>
      </c>
      <c r="Q430" s="1">
        <v>0</v>
      </c>
      <c r="R430" s="1">
        <v>0</v>
      </c>
      <c r="S430" s="1">
        <v>0</v>
      </c>
      <c r="T430" s="1">
        <v>0</v>
      </c>
      <c r="U430" s="1">
        <v>3</v>
      </c>
      <c r="V430" s="1">
        <v>2697</v>
      </c>
    </row>
    <row r="431" spans="1:22" x14ac:dyDescent="0.15">
      <c r="A431" s="2" t="str">
        <f t="shared" si="518"/>
        <v>CML6</v>
      </c>
      <c r="B431" s="2" t="str">
        <f t="shared" si="519"/>
        <v>华东支社</v>
      </c>
      <c r="C431" s="2" t="str">
        <f t="shared" si="520"/>
        <v>PR 南京河西建邺万达广场(CML6)</v>
      </c>
      <c r="D431" s="2" t="str">
        <f t="shared" si="487"/>
        <v>2026</v>
      </c>
      <c r="E431" s="2" t="str">
        <f t="shared" si="488"/>
        <v>夏</v>
      </c>
      <c r="F431" s="2" t="str">
        <f t="shared" si="489"/>
        <v>一般毛衣(SWEATER)(KW)</v>
      </c>
      <c r="H431" s="2" t="str">
        <f t="shared" si="490"/>
        <v>PRKWG2303M</v>
      </c>
      <c r="I431" s="2" t="str">
        <f t="shared" si="521"/>
        <v>(99)MIX99</v>
      </c>
      <c r="J431" s="2" t="str">
        <f>"170"</f>
        <v>170</v>
      </c>
      <c r="K431" s="2" t="str">
        <f>"PRKWG2303M99170"</f>
        <v>PRKWG2303M99170</v>
      </c>
      <c r="L431" s="2" t="str">
        <f t="shared" si="491"/>
        <v>899</v>
      </c>
      <c r="M431" s="1">
        <v>4</v>
      </c>
      <c r="N431" s="1">
        <v>3596</v>
      </c>
      <c r="O431" s="1">
        <v>4</v>
      </c>
      <c r="P431" s="1">
        <v>3596</v>
      </c>
      <c r="Q431" s="1">
        <v>0</v>
      </c>
      <c r="R431" s="1">
        <v>0</v>
      </c>
      <c r="S431" s="1">
        <v>0</v>
      </c>
      <c r="T431" s="1">
        <v>0</v>
      </c>
      <c r="U431" s="1">
        <v>4</v>
      </c>
      <c r="V431" s="1">
        <v>3596</v>
      </c>
    </row>
    <row r="432" spans="1:22" x14ac:dyDescent="0.15">
      <c r="A432" s="2" t="str">
        <f t="shared" ref="A432:A435" si="522">"CMLE"</f>
        <v>CMLE</v>
      </c>
      <c r="B432" s="2" t="str">
        <f t="shared" ref="B432:B435" si="523">"川南支社"</f>
        <v>川南支社</v>
      </c>
      <c r="C432" s="2" t="str">
        <f t="shared" ref="C432:C435" si="524">"PR 遂宁万象汇(CMLE)"</f>
        <v>PR 遂宁万象汇(CMLE)</v>
      </c>
      <c r="D432" s="2" t="str">
        <f t="shared" si="487"/>
        <v>2026</v>
      </c>
      <c r="E432" s="2" t="str">
        <f t="shared" si="488"/>
        <v>夏</v>
      </c>
      <c r="F432" s="2" t="str">
        <f t="shared" si="489"/>
        <v>一般毛衣(SWEATER)(KW)</v>
      </c>
      <c r="H432" s="2" t="str">
        <f t="shared" si="490"/>
        <v>PRKWG2303M</v>
      </c>
      <c r="I432" s="2" t="str">
        <f t="shared" si="521"/>
        <v>(99)MIX99</v>
      </c>
      <c r="J432" s="2" t="str">
        <f>"155"</f>
        <v>155</v>
      </c>
      <c r="K432" s="2" t="str">
        <f>"PRKWG2303M99155"</f>
        <v>PRKWG2303M99155</v>
      </c>
      <c r="L432" s="2" t="str">
        <f t="shared" si="491"/>
        <v>899</v>
      </c>
      <c r="M432" s="1">
        <v>1</v>
      </c>
      <c r="N432" s="1">
        <v>899</v>
      </c>
      <c r="O432" s="1">
        <v>1</v>
      </c>
      <c r="P432" s="1">
        <v>899</v>
      </c>
      <c r="Q432" s="1">
        <v>0</v>
      </c>
      <c r="R432" s="1">
        <v>0</v>
      </c>
      <c r="S432" s="1">
        <v>0</v>
      </c>
      <c r="T432" s="1">
        <v>0</v>
      </c>
      <c r="U432" s="1">
        <v>1</v>
      </c>
      <c r="V432" s="1">
        <v>899</v>
      </c>
    </row>
    <row r="433" spans="1:22" x14ac:dyDescent="0.15">
      <c r="A433" s="2" t="str">
        <f t="shared" si="522"/>
        <v>CMLE</v>
      </c>
      <c r="B433" s="2" t="str">
        <f t="shared" si="523"/>
        <v>川南支社</v>
      </c>
      <c r="C433" s="2" t="str">
        <f t="shared" si="524"/>
        <v>PR 遂宁万象汇(CMLE)</v>
      </c>
      <c r="D433" s="2" t="str">
        <f t="shared" si="487"/>
        <v>2026</v>
      </c>
      <c r="E433" s="2" t="str">
        <f t="shared" si="488"/>
        <v>夏</v>
      </c>
      <c r="F433" s="2" t="str">
        <f t="shared" si="489"/>
        <v>一般毛衣(SWEATER)(KW)</v>
      </c>
      <c r="H433" s="2" t="str">
        <f t="shared" si="490"/>
        <v>PRKWG2303M</v>
      </c>
      <c r="I433" s="2" t="str">
        <f t="shared" si="521"/>
        <v>(99)MIX99</v>
      </c>
      <c r="J433" s="2" t="str">
        <f>"160"</f>
        <v>160</v>
      </c>
      <c r="K433" s="2" t="str">
        <f>"PRKWG2303M99160"</f>
        <v>PRKWG2303M99160</v>
      </c>
      <c r="L433" s="2" t="str">
        <f t="shared" si="491"/>
        <v>899</v>
      </c>
      <c r="M433" s="1">
        <v>4</v>
      </c>
      <c r="N433" s="1">
        <v>3596</v>
      </c>
      <c r="O433" s="1">
        <v>4</v>
      </c>
      <c r="P433" s="1">
        <v>3596</v>
      </c>
      <c r="Q433" s="1">
        <v>0</v>
      </c>
      <c r="R433" s="1">
        <v>0</v>
      </c>
      <c r="S433" s="1">
        <v>0</v>
      </c>
      <c r="T433" s="1">
        <v>0</v>
      </c>
      <c r="U433" s="1">
        <v>4</v>
      </c>
      <c r="V433" s="1">
        <v>3596</v>
      </c>
    </row>
    <row r="434" spans="1:22" x14ac:dyDescent="0.15">
      <c r="A434" s="2" t="str">
        <f t="shared" si="522"/>
        <v>CMLE</v>
      </c>
      <c r="B434" s="2" t="str">
        <f t="shared" si="523"/>
        <v>川南支社</v>
      </c>
      <c r="C434" s="2" t="str">
        <f t="shared" si="524"/>
        <v>PR 遂宁万象汇(CMLE)</v>
      </c>
      <c r="D434" s="2" t="str">
        <f t="shared" si="487"/>
        <v>2026</v>
      </c>
      <c r="E434" s="2" t="str">
        <f t="shared" si="488"/>
        <v>夏</v>
      </c>
      <c r="F434" s="2" t="str">
        <f t="shared" si="489"/>
        <v>一般毛衣(SWEATER)(KW)</v>
      </c>
      <c r="H434" s="2" t="str">
        <f t="shared" si="490"/>
        <v>PRKWG2303M</v>
      </c>
      <c r="I434" s="2" t="str">
        <f t="shared" si="521"/>
        <v>(99)MIX99</v>
      </c>
      <c r="J434" s="2" t="str">
        <f>"165"</f>
        <v>165</v>
      </c>
      <c r="K434" s="2" t="str">
        <f>"PRKWG2303M99165"</f>
        <v>PRKWG2303M99165</v>
      </c>
      <c r="L434" s="2" t="str">
        <f t="shared" si="491"/>
        <v>899</v>
      </c>
      <c r="M434" s="1">
        <v>3</v>
      </c>
      <c r="N434" s="1">
        <v>2697</v>
      </c>
      <c r="O434" s="1">
        <v>3</v>
      </c>
      <c r="P434" s="1">
        <v>2697</v>
      </c>
      <c r="Q434" s="1">
        <v>0</v>
      </c>
      <c r="R434" s="1">
        <v>0</v>
      </c>
      <c r="S434" s="1">
        <v>0</v>
      </c>
      <c r="T434" s="1">
        <v>0</v>
      </c>
      <c r="U434" s="1">
        <v>3</v>
      </c>
      <c r="V434" s="1">
        <v>2697</v>
      </c>
    </row>
    <row r="435" spans="1:22" x14ac:dyDescent="0.15">
      <c r="A435" s="2" t="str">
        <f t="shared" si="522"/>
        <v>CMLE</v>
      </c>
      <c r="B435" s="2" t="str">
        <f t="shared" si="523"/>
        <v>川南支社</v>
      </c>
      <c r="C435" s="2" t="str">
        <f t="shared" si="524"/>
        <v>PR 遂宁万象汇(CMLE)</v>
      </c>
      <c r="D435" s="2" t="str">
        <f t="shared" si="487"/>
        <v>2026</v>
      </c>
      <c r="E435" s="2" t="str">
        <f t="shared" si="488"/>
        <v>夏</v>
      </c>
      <c r="F435" s="2" t="str">
        <f t="shared" si="489"/>
        <v>一般毛衣(SWEATER)(KW)</v>
      </c>
      <c r="H435" s="2" t="str">
        <f t="shared" si="490"/>
        <v>PRKWG2303M</v>
      </c>
      <c r="I435" s="2" t="str">
        <f t="shared" si="521"/>
        <v>(99)MIX99</v>
      </c>
      <c r="J435" s="2" t="str">
        <f>"170"</f>
        <v>170</v>
      </c>
      <c r="K435" s="2" t="str">
        <f>"PRKWG2303M99170"</f>
        <v>PRKWG2303M99170</v>
      </c>
      <c r="L435" s="2" t="str">
        <f t="shared" si="491"/>
        <v>899</v>
      </c>
      <c r="M435" s="1">
        <v>1</v>
      </c>
      <c r="N435" s="1">
        <v>899</v>
      </c>
      <c r="O435" s="1">
        <v>1</v>
      </c>
      <c r="P435" s="1">
        <v>899</v>
      </c>
      <c r="Q435" s="1">
        <v>0</v>
      </c>
      <c r="R435" s="1">
        <v>0</v>
      </c>
      <c r="S435" s="1">
        <v>0</v>
      </c>
      <c r="T435" s="1">
        <v>0</v>
      </c>
      <c r="U435" s="1">
        <v>1</v>
      </c>
      <c r="V435" s="1">
        <v>899</v>
      </c>
    </row>
    <row r="436" spans="1:22" x14ac:dyDescent="0.15">
      <c r="A436" s="2" t="str">
        <f t="shared" ref="A436:A438" si="525">"CMM2"</f>
        <v>CMM2</v>
      </c>
      <c r="B436" s="2" t="str">
        <f t="shared" ref="B436:B438" si="526">"重庆支社"</f>
        <v>重庆支社</v>
      </c>
      <c r="C436" s="2" t="str">
        <f t="shared" ref="C436:C438" si="527">"PR 重庆星光时代广场(CMM2)"</f>
        <v>PR 重庆星光时代广场(CMM2)</v>
      </c>
      <c r="D436" s="2" t="str">
        <f t="shared" si="487"/>
        <v>2026</v>
      </c>
      <c r="E436" s="2" t="str">
        <f t="shared" si="488"/>
        <v>夏</v>
      </c>
      <c r="F436" s="2" t="str">
        <f t="shared" si="489"/>
        <v>一般毛衣(SWEATER)(KW)</v>
      </c>
      <c r="H436" s="2" t="str">
        <f t="shared" si="490"/>
        <v>PRKWG2303M</v>
      </c>
      <c r="I436" s="2" t="str">
        <f t="shared" si="521"/>
        <v>(99)MIX99</v>
      </c>
      <c r="J436" s="2" t="str">
        <f>"160"</f>
        <v>160</v>
      </c>
      <c r="K436" s="2" t="str">
        <f>"PRKWG2303M99160"</f>
        <v>PRKWG2303M99160</v>
      </c>
      <c r="L436" s="2" t="str">
        <f t="shared" si="491"/>
        <v>899</v>
      </c>
      <c r="M436" s="1">
        <v>1</v>
      </c>
      <c r="N436" s="1">
        <v>899</v>
      </c>
      <c r="O436" s="1">
        <v>1</v>
      </c>
      <c r="P436" s="1">
        <v>899</v>
      </c>
      <c r="Q436" s="1">
        <v>0</v>
      </c>
      <c r="R436" s="1">
        <v>0</v>
      </c>
      <c r="S436" s="1">
        <v>1</v>
      </c>
      <c r="T436" s="1">
        <v>899</v>
      </c>
      <c r="U436" s="1">
        <v>2</v>
      </c>
      <c r="V436" s="1">
        <v>1798</v>
      </c>
    </row>
    <row r="437" spans="1:22" x14ac:dyDescent="0.15">
      <c r="A437" s="2" t="str">
        <f t="shared" si="525"/>
        <v>CMM2</v>
      </c>
      <c r="B437" s="2" t="str">
        <f t="shared" si="526"/>
        <v>重庆支社</v>
      </c>
      <c r="C437" s="2" t="str">
        <f t="shared" si="527"/>
        <v>PR 重庆星光时代广场(CMM2)</v>
      </c>
      <c r="D437" s="2" t="str">
        <f t="shared" si="487"/>
        <v>2026</v>
      </c>
      <c r="E437" s="2" t="str">
        <f t="shared" si="488"/>
        <v>夏</v>
      </c>
      <c r="F437" s="2" t="str">
        <f t="shared" si="489"/>
        <v>一般毛衣(SWEATER)(KW)</v>
      </c>
      <c r="H437" s="2" t="str">
        <f t="shared" si="490"/>
        <v>PRKWG2303M</v>
      </c>
      <c r="I437" s="2" t="str">
        <f t="shared" si="521"/>
        <v>(99)MIX99</v>
      </c>
      <c r="J437" s="2" t="str">
        <f>"165"</f>
        <v>165</v>
      </c>
      <c r="K437" s="2" t="str">
        <f>"PRKWG2303M99165"</f>
        <v>PRKWG2303M99165</v>
      </c>
      <c r="L437" s="2" t="str">
        <f t="shared" si="491"/>
        <v>899</v>
      </c>
      <c r="M437" s="1">
        <v>2</v>
      </c>
      <c r="N437" s="1">
        <v>1798</v>
      </c>
      <c r="O437" s="1">
        <v>2</v>
      </c>
      <c r="P437" s="1">
        <v>1798</v>
      </c>
      <c r="Q437" s="1">
        <v>0</v>
      </c>
      <c r="R437" s="1">
        <v>0</v>
      </c>
      <c r="S437" s="1">
        <v>0</v>
      </c>
      <c r="T437" s="1">
        <v>0</v>
      </c>
      <c r="U437" s="1">
        <v>2</v>
      </c>
      <c r="V437" s="1">
        <v>1798</v>
      </c>
    </row>
    <row r="438" spans="1:22" x14ac:dyDescent="0.15">
      <c r="A438" s="2" t="str">
        <f t="shared" si="525"/>
        <v>CMM2</v>
      </c>
      <c r="B438" s="2" t="str">
        <f t="shared" si="526"/>
        <v>重庆支社</v>
      </c>
      <c r="C438" s="2" t="str">
        <f t="shared" si="527"/>
        <v>PR 重庆星光时代广场(CMM2)</v>
      </c>
      <c r="D438" s="2" t="str">
        <f t="shared" si="487"/>
        <v>2026</v>
      </c>
      <c r="E438" s="2" t="str">
        <f t="shared" si="488"/>
        <v>夏</v>
      </c>
      <c r="F438" s="2" t="str">
        <f t="shared" si="489"/>
        <v>一般毛衣(SWEATER)(KW)</v>
      </c>
      <c r="H438" s="2" t="str">
        <f t="shared" si="490"/>
        <v>PRKWG2303M</v>
      </c>
      <c r="I438" s="2" t="str">
        <f t="shared" si="521"/>
        <v>(99)MIX99</v>
      </c>
      <c r="J438" s="2" t="str">
        <f>"170"</f>
        <v>170</v>
      </c>
      <c r="K438" s="2" t="str">
        <f>"PRKWG2303M99170"</f>
        <v>PRKWG2303M99170</v>
      </c>
      <c r="L438" s="2" t="str">
        <f t="shared" si="491"/>
        <v>899</v>
      </c>
      <c r="M438" s="1">
        <v>1</v>
      </c>
      <c r="N438" s="1">
        <v>899</v>
      </c>
      <c r="O438" s="1">
        <v>1</v>
      </c>
      <c r="P438" s="1">
        <v>899</v>
      </c>
      <c r="Q438" s="1">
        <v>0</v>
      </c>
      <c r="R438" s="1">
        <v>0</v>
      </c>
      <c r="S438" s="1">
        <v>0</v>
      </c>
      <c r="T438" s="1">
        <v>0</v>
      </c>
      <c r="U438" s="1">
        <v>1</v>
      </c>
      <c r="V438" s="1">
        <v>899</v>
      </c>
    </row>
    <row r="439" spans="1:22" x14ac:dyDescent="0.15">
      <c r="A439" s="2" t="str">
        <f t="shared" ref="A439:A442" si="528">"CMM5"</f>
        <v>CMM5</v>
      </c>
      <c r="B439" s="2" t="str">
        <f t="shared" ref="B439:B442" si="529">"华中支社"</f>
        <v>华中支社</v>
      </c>
      <c r="C439" s="2" t="str">
        <f t="shared" ref="C439:C442" si="530">"PR 武汉杉杉奥莱(CMM5)"</f>
        <v>PR 武汉杉杉奥莱(CMM5)</v>
      </c>
      <c r="D439" s="2" t="str">
        <f t="shared" si="487"/>
        <v>2026</v>
      </c>
      <c r="E439" s="2" t="str">
        <f t="shared" si="488"/>
        <v>夏</v>
      </c>
      <c r="F439" s="2" t="str">
        <f t="shared" si="489"/>
        <v>一般毛衣(SWEATER)(KW)</v>
      </c>
      <c r="H439" s="2" t="str">
        <f t="shared" si="490"/>
        <v>PRKWG2303M</v>
      </c>
      <c r="I439" s="2" t="str">
        <f t="shared" si="521"/>
        <v>(99)MIX99</v>
      </c>
      <c r="J439" s="2" t="str">
        <f>"155"</f>
        <v>155</v>
      </c>
      <c r="K439" s="2" t="str">
        <f>"PRKWG2303M99155"</f>
        <v>PRKWG2303M99155</v>
      </c>
      <c r="L439" s="2" t="str">
        <f t="shared" si="491"/>
        <v>899</v>
      </c>
      <c r="M439" s="1">
        <v>1</v>
      </c>
      <c r="N439" s="1">
        <v>899</v>
      </c>
      <c r="O439" s="1">
        <v>1</v>
      </c>
      <c r="P439" s="1">
        <v>899</v>
      </c>
      <c r="Q439" s="1">
        <v>0</v>
      </c>
      <c r="R439" s="1">
        <v>0</v>
      </c>
      <c r="S439" s="1">
        <v>0</v>
      </c>
      <c r="T439" s="1">
        <v>0</v>
      </c>
      <c r="U439" s="1">
        <v>1</v>
      </c>
      <c r="V439" s="1">
        <v>899</v>
      </c>
    </row>
    <row r="440" spans="1:22" x14ac:dyDescent="0.15">
      <c r="A440" s="2" t="str">
        <f t="shared" si="528"/>
        <v>CMM5</v>
      </c>
      <c r="B440" s="2" t="str">
        <f t="shared" si="529"/>
        <v>华中支社</v>
      </c>
      <c r="C440" s="2" t="str">
        <f t="shared" si="530"/>
        <v>PR 武汉杉杉奥莱(CMM5)</v>
      </c>
      <c r="D440" s="2" t="str">
        <f t="shared" si="487"/>
        <v>2026</v>
      </c>
      <c r="E440" s="2" t="str">
        <f t="shared" si="488"/>
        <v>夏</v>
      </c>
      <c r="F440" s="2" t="str">
        <f t="shared" si="489"/>
        <v>一般毛衣(SWEATER)(KW)</v>
      </c>
      <c r="H440" s="2" t="str">
        <f t="shared" si="490"/>
        <v>PRKWG2303M</v>
      </c>
      <c r="I440" s="2" t="str">
        <f t="shared" si="521"/>
        <v>(99)MIX99</v>
      </c>
      <c r="J440" s="2" t="str">
        <f t="shared" ref="J440:J445" si="531">"160"</f>
        <v>160</v>
      </c>
      <c r="K440" s="2" t="str">
        <f t="shared" ref="K440:K445" si="532">"PRKWG2303M99160"</f>
        <v>PRKWG2303M99160</v>
      </c>
      <c r="L440" s="2" t="str">
        <f t="shared" si="491"/>
        <v>899</v>
      </c>
      <c r="M440" s="1">
        <v>2</v>
      </c>
      <c r="N440" s="1">
        <v>1798</v>
      </c>
      <c r="O440" s="1">
        <v>2</v>
      </c>
      <c r="P440" s="1">
        <v>1798</v>
      </c>
      <c r="Q440" s="1">
        <v>0</v>
      </c>
      <c r="R440" s="1">
        <v>0</v>
      </c>
      <c r="S440" s="1">
        <v>0</v>
      </c>
      <c r="T440" s="1">
        <v>0</v>
      </c>
      <c r="U440" s="1">
        <v>2</v>
      </c>
      <c r="V440" s="1">
        <v>1798</v>
      </c>
    </row>
    <row r="441" spans="1:22" x14ac:dyDescent="0.15">
      <c r="A441" s="2" t="str">
        <f t="shared" si="528"/>
        <v>CMM5</v>
      </c>
      <c r="B441" s="2" t="str">
        <f t="shared" si="529"/>
        <v>华中支社</v>
      </c>
      <c r="C441" s="2" t="str">
        <f t="shared" si="530"/>
        <v>PR 武汉杉杉奥莱(CMM5)</v>
      </c>
      <c r="D441" s="2" t="str">
        <f t="shared" si="487"/>
        <v>2026</v>
      </c>
      <c r="E441" s="2" t="str">
        <f t="shared" si="488"/>
        <v>夏</v>
      </c>
      <c r="F441" s="2" t="str">
        <f t="shared" si="489"/>
        <v>一般毛衣(SWEATER)(KW)</v>
      </c>
      <c r="H441" s="2" t="str">
        <f t="shared" si="490"/>
        <v>PRKWG2303M</v>
      </c>
      <c r="I441" s="2" t="str">
        <f t="shared" si="521"/>
        <v>(99)MIX99</v>
      </c>
      <c r="J441" s="2" t="str">
        <f t="shared" ref="J441:J446" si="533">"165"</f>
        <v>165</v>
      </c>
      <c r="K441" s="2" t="str">
        <f t="shared" ref="K441:K446" si="534">"PRKWG2303M99165"</f>
        <v>PRKWG2303M99165</v>
      </c>
      <c r="L441" s="2" t="str">
        <f t="shared" si="491"/>
        <v>899</v>
      </c>
      <c r="M441" s="1">
        <v>2</v>
      </c>
      <c r="N441" s="1">
        <v>1798</v>
      </c>
      <c r="O441" s="1">
        <v>2</v>
      </c>
      <c r="P441" s="1">
        <v>1798</v>
      </c>
      <c r="Q441" s="1">
        <v>0</v>
      </c>
      <c r="R441" s="1">
        <v>0</v>
      </c>
      <c r="S441" s="1">
        <v>0</v>
      </c>
      <c r="T441" s="1">
        <v>0</v>
      </c>
      <c r="U441" s="1">
        <v>2</v>
      </c>
      <c r="V441" s="1">
        <v>1798</v>
      </c>
    </row>
    <row r="442" spans="1:22" x14ac:dyDescent="0.15">
      <c r="A442" s="2" t="str">
        <f t="shared" si="528"/>
        <v>CMM5</v>
      </c>
      <c r="B442" s="2" t="str">
        <f t="shared" si="529"/>
        <v>华中支社</v>
      </c>
      <c r="C442" s="2" t="str">
        <f t="shared" si="530"/>
        <v>PR 武汉杉杉奥莱(CMM5)</v>
      </c>
      <c r="D442" s="2" t="str">
        <f t="shared" si="487"/>
        <v>2026</v>
      </c>
      <c r="E442" s="2" t="str">
        <f t="shared" si="488"/>
        <v>夏</v>
      </c>
      <c r="F442" s="2" t="str">
        <f t="shared" si="489"/>
        <v>一般毛衣(SWEATER)(KW)</v>
      </c>
      <c r="H442" s="2" t="str">
        <f t="shared" si="490"/>
        <v>PRKWG2303M</v>
      </c>
      <c r="I442" s="2" t="str">
        <f t="shared" si="521"/>
        <v>(99)MIX99</v>
      </c>
      <c r="J442" s="2" t="str">
        <f>"170"</f>
        <v>170</v>
      </c>
      <c r="K442" s="2" t="str">
        <f>"PRKWG2303M99170"</f>
        <v>PRKWG2303M99170</v>
      </c>
      <c r="L442" s="2" t="str">
        <f t="shared" si="491"/>
        <v>899</v>
      </c>
      <c r="M442" s="1">
        <v>1</v>
      </c>
      <c r="N442" s="1">
        <v>899</v>
      </c>
      <c r="O442" s="1">
        <v>1</v>
      </c>
      <c r="P442" s="1">
        <v>899</v>
      </c>
      <c r="Q442" s="1">
        <v>0</v>
      </c>
      <c r="R442" s="1">
        <v>0</v>
      </c>
      <c r="S442" s="1">
        <v>0</v>
      </c>
      <c r="T442" s="1">
        <v>0</v>
      </c>
      <c r="U442" s="1">
        <v>1</v>
      </c>
      <c r="V442" s="1">
        <v>899</v>
      </c>
    </row>
    <row r="443" spans="1:22" x14ac:dyDescent="0.15">
      <c r="A443" s="2" t="str">
        <f>"CMMK"</f>
        <v>CMMK</v>
      </c>
      <c r="B443" s="2" t="str">
        <f>"东南支社"</f>
        <v>东南支社</v>
      </c>
      <c r="C443" s="2" t="str">
        <f>"PR 南昌百盛（特卖场）(CMMK)"</f>
        <v>PR 南昌百盛（特卖场）(CMMK)</v>
      </c>
      <c r="D443" s="2" t="str">
        <f t="shared" si="487"/>
        <v>2026</v>
      </c>
      <c r="E443" s="2" t="str">
        <f t="shared" si="488"/>
        <v>夏</v>
      </c>
      <c r="F443" s="2" t="str">
        <f t="shared" si="489"/>
        <v>一般毛衣(SWEATER)(KW)</v>
      </c>
      <c r="H443" s="2" t="str">
        <f t="shared" si="490"/>
        <v>PRKWG2303M</v>
      </c>
      <c r="I443" s="2" t="str">
        <f t="shared" si="521"/>
        <v>(99)MIX99</v>
      </c>
      <c r="J443" s="2" t="str">
        <f t="shared" si="531"/>
        <v>160</v>
      </c>
      <c r="K443" s="2" t="str">
        <f t="shared" si="532"/>
        <v>PRKWG2303M99160</v>
      </c>
      <c r="L443" s="2" t="str">
        <f t="shared" si="491"/>
        <v>899</v>
      </c>
      <c r="M443" s="1">
        <v>2</v>
      </c>
      <c r="N443" s="1">
        <v>1798</v>
      </c>
      <c r="O443" s="1">
        <v>2</v>
      </c>
      <c r="P443" s="1">
        <v>1798</v>
      </c>
      <c r="Q443" s="1">
        <v>0</v>
      </c>
      <c r="R443" s="1">
        <v>0</v>
      </c>
      <c r="S443" s="1">
        <v>0</v>
      </c>
      <c r="T443" s="1">
        <v>0</v>
      </c>
      <c r="U443" s="1">
        <v>2</v>
      </c>
      <c r="V443" s="1">
        <v>1798</v>
      </c>
    </row>
    <row r="444" spans="1:22" x14ac:dyDescent="0.15">
      <c r="A444" s="2" t="str">
        <f>"CMMK"</f>
        <v>CMMK</v>
      </c>
      <c r="B444" s="2" t="str">
        <f>"东南支社"</f>
        <v>东南支社</v>
      </c>
      <c r="C444" s="2" t="str">
        <f>"PR 南昌百盛（特卖场）(CMMK)"</f>
        <v>PR 南昌百盛（特卖场）(CMMK)</v>
      </c>
      <c r="D444" s="2" t="str">
        <f t="shared" si="487"/>
        <v>2026</v>
      </c>
      <c r="E444" s="2" t="str">
        <f t="shared" si="488"/>
        <v>夏</v>
      </c>
      <c r="F444" s="2" t="str">
        <f t="shared" si="489"/>
        <v>一般毛衣(SWEATER)(KW)</v>
      </c>
      <c r="H444" s="2" t="str">
        <f t="shared" si="490"/>
        <v>PRKWG2303M</v>
      </c>
      <c r="I444" s="2" t="str">
        <f t="shared" si="521"/>
        <v>(99)MIX99</v>
      </c>
      <c r="J444" s="2" t="str">
        <f t="shared" si="533"/>
        <v>165</v>
      </c>
      <c r="K444" s="2" t="str">
        <f t="shared" si="534"/>
        <v>PRKWG2303M99165</v>
      </c>
      <c r="L444" s="2" t="str">
        <f t="shared" si="491"/>
        <v>899</v>
      </c>
      <c r="M444" s="1">
        <v>1</v>
      </c>
      <c r="N444" s="1">
        <v>899</v>
      </c>
      <c r="O444" s="1">
        <v>1</v>
      </c>
      <c r="P444" s="1">
        <v>899</v>
      </c>
      <c r="Q444" s="1">
        <v>0</v>
      </c>
      <c r="R444" s="1">
        <v>0</v>
      </c>
      <c r="S444" s="1">
        <v>0</v>
      </c>
      <c r="T444" s="1">
        <v>0</v>
      </c>
      <c r="U444" s="1">
        <v>1</v>
      </c>
      <c r="V444" s="1">
        <v>899</v>
      </c>
    </row>
    <row r="445" spans="1:22" x14ac:dyDescent="0.15">
      <c r="A445" s="2" t="str">
        <f t="shared" ref="A445:A447" si="535">"CMNZ"</f>
        <v>CMNZ</v>
      </c>
      <c r="B445" s="2" t="str">
        <f t="shared" ref="B445:B447" si="536">"浙江支社"</f>
        <v>浙江支社</v>
      </c>
      <c r="C445" s="2" t="str">
        <f t="shared" ref="C445:C447" si="537">"PR 合肥银泰政务店(CMNZ)"</f>
        <v>PR 合肥银泰政务店(CMNZ)</v>
      </c>
      <c r="D445" s="2" t="str">
        <f t="shared" si="487"/>
        <v>2026</v>
      </c>
      <c r="E445" s="2" t="str">
        <f t="shared" si="488"/>
        <v>夏</v>
      </c>
      <c r="F445" s="2" t="str">
        <f t="shared" si="489"/>
        <v>一般毛衣(SWEATER)(KW)</v>
      </c>
      <c r="H445" s="2" t="str">
        <f t="shared" si="490"/>
        <v>PRKWG2303M</v>
      </c>
      <c r="I445" s="2" t="str">
        <f t="shared" si="521"/>
        <v>(99)MIX99</v>
      </c>
      <c r="J445" s="2" t="str">
        <f t="shared" si="531"/>
        <v>160</v>
      </c>
      <c r="K445" s="2" t="str">
        <f t="shared" si="532"/>
        <v>PRKWG2303M99160</v>
      </c>
      <c r="L445" s="2" t="str">
        <f t="shared" si="491"/>
        <v>899</v>
      </c>
      <c r="M445" s="1">
        <v>2</v>
      </c>
      <c r="N445" s="1">
        <v>1798</v>
      </c>
      <c r="O445" s="1">
        <v>2</v>
      </c>
      <c r="P445" s="1">
        <v>1798</v>
      </c>
      <c r="Q445" s="1">
        <v>0</v>
      </c>
      <c r="R445" s="1">
        <v>0</v>
      </c>
      <c r="S445" s="1">
        <v>0</v>
      </c>
      <c r="T445" s="1">
        <v>0</v>
      </c>
      <c r="U445" s="1">
        <v>2</v>
      </c>
      <c r="V445" s="1">
        <v>1798</v>
      </c>
    </row>
    <row r="446" spans="1:22" x14ac:dyDescent="0.15">
      <c r="A446" s="2" t="str">
        <f t="shared" si="535"/>
        <v>CMNZ</v>
      </c>
      <c r="B446" s="2" t="str">
        <f t="shared" si="536"/>
        <v>浙江支社</v>
      </c>
      <c r="C446" s="2" t="str">
        <f t="shared" si="537"/>
        <v>PR 合肥银泰政务店(CMNZ)</v>
      </c>
      <c r="D446" s="2" t="str">
        <f t="shared" si="487"/>
        <v>2026</v>
      </c>
      <c r="E446" s="2" t="str">
        <f t="shared" si="488"/>
        <v>夏</v>
      </c>
      <c r="F446" s="2" t="str">
        <f t="shared" si="489"/>
        <v>一般毛衣(SWEATER)(KW)</v>
      </c>
      <c r="H446" s="2" t="str">
        <f t="shared" si="490"/>
        <v>PRKWG2303M</v>
      </c>
      <c r="I446" s="2" t="str">
        <f t="shared" si="521"/>
        <v>(99)MIX99</v>
      </c>
      <c r="J446" s="2" t="str">
        <f t="shared" si="533"/>
        <v>165</v>
      </c>
      <c r="K446" s="2" t="str">
        <f t="shared" si="534"/>
        <v>PRKWG2303M99165</v>
      </c>
      <c r="L446" s="2" t="str">
        <f t="shared" si="491"/>
        <v>899</v>
      </c>
      <c r="M446" s="1">
        <v>2</v>
      </c>
      <c r="N446" s="1">
        <v>1798</v>
      </c>
      <c r="O446" s="1">
        <v>2</v>
      </c>
      <c r="P446" s="1">
        <v>1798</v>
      </c>
      <c r="Q446" s="1">
        <v>0</v>
      </c>
      <c r="R446" s="1">
        <v>0</v>
      </c>
      <c r="S446" s="1">
        <v>0</v>
      </c>
      <c r="T446" s="1">
        <v>0</v>
      </c>
      <c r="U446" s="1">
        <v>2</v>
      </c>
      <c r="V446" s="1">
        <v>1798</v>
      </c>
    </row>
    <row r="447" spans="1:22" x14ac:dyDescent="0.15">
      <c r="A447" s="2" t="str">
        <f t="shared" si="535"/>
        <v>CMNZ</v>
      </c>
      <c r="B447" s="2" t="str">
        <f t="shared" si="536"/>
        <v>浙江支社</v>
      </c>
      <c r="C447" s="2" t="str">
        <f t="shared" si="537"/>
        <v>PR 合肥银泰政务店(CMNZ)</v>
      </c>
      <c r="D447" s="2" t="str">
        <f t="shared" si="487"/>
        <v>2026</v>
      </c>
      <c r="E447" s="2" t="str">
        <f t="shared" si="488"/>
        <v>夏</v>
      </c>
      <c r="F447" s="2" t="str">
        <f t="shared" si="489"/>
        <v>一般毛衣(SWEATER)(KW)</v>
      </c>
      <c r="H447" s="2" t="str">
        <f t="shared" si="490"/>
        <v>PRKWG2303M</v>
      </c>
      <c r="I447" s="2" t="str">
        <f t="shared" si="521"/>
        <v>(99)MIX99</v>
      </c>
      <c r="J447" s="2" t="str">
        <f>"170"</f>
        <v>170</v>
      </c>
      <c r="K447" s="2" t="str">
        <f>"PRKWG2303M99170"</f>
        <v>PRKWG2303M99170</v>
      </c>
      <c r="L447" s="2" t="str">
        <f t="shared" si="491"/>
        <v>899</v>
      </c>
      <c r="M447" s="1">
        <v>2</v>
      </c>
      <c r="N447" s="1">
        <v>1798</v>
      </c>
      <c r="O447" s="1">
        <v>2</v>
      </c>
      <c r="P447" s="1">
        <v>1798</v>
      </c>
      <c r="Q447" s="1">
        <v>0</v>
      </c>
      <c r="R447" s="1">
        <v>0</v>
      </c>
      <c r="S447" s="1">
        <v>0</v>
      </c>
      <c r="T447" s="1">
        <v>0</v>
      </c>
      <c r="U447" s="1">
        <v>2</v>
      </c>
      <c r="V447" s="1">
        <v>1798</v>
      </c>
    </row>
    <row r="448" spans="1:22" x14ac:dyDescent="0.15">
      <c r="A448" s="2" t="str">
        <f t="shared" ref="A448:A450" si="538">"CMO7"</f>
        <v>CMO7</v>
      </c>
      <c r="B448" s="2" t="str">
        <f t="shared" ref="B448:B450" si="539">"川西支社"</f>
        <v>川西支社</v>
      </c>
      <c r="C448" s="2" t="str">
        <f t="shared" ref="C448:C450" si="540">"PR 成都新世纪环球购物中心(CMO7)"</f>
        <v>PR 成都新世纪环球购物中心(CMO7)</v>
      </c>
      <c r="D448" s="2" t="str">
        <f t="shared" si="487"/>
        <v>2026</v>
      </c>
      <c r="E448" s="2" t="str">
        <f t="shared" si="488"/>
        <v>夏</v>
      </c>
      <c r="F448" s="2" t="str">
        <f t="shared" si="489"/>
        <v>一般毛衣(SWEATER)(KW)</v>
      </c>
      <c r="H448" s="2" t="str">
        <f t="shared" si="490"/>
        <v>PRKWG2303M</v>
      </c>
      <c r="I448" s="2" t="str">
        <f t="shared" ref="I448:I455" si="541">"(99)MIX99"</f>
        <v>(99)MIX99</v>
      </c>
      <c r="J448" s="2" t="str">
        <f>"160"</f>
        <v>160</v>
      </c>
      <c r="K448" s="2" t="str">
        <f>"PRKWG2303M99160"</f>
        <v>PRKWG2303M99160</v>
      </c>
      <c r="L448" s="2" t="str">
        <f t="shared" si="491"/>
        <v>899</v>
      </c>
      <c r="M448" s="1">
        <v>3</v>
      </c>
      <c r="N448" s="1">
        <v>2697</v>
      </c>
      <c r="O448" s="1">
        <v>3</v>
      </c>
      <c r="P448" s="1">
        <v>2697</v>
      </c>
      <c r="Q448" s="1">
        <v>0</v>
      </c>
      <c r="R448" s="1">
        <v>0</v>
      </c>
      <c r="S448" s="1">
        <v>0</v>
      </c>
      <c r="T448" s="1">
        <v>0</v>
      </c>
      <c r="U448" s="1">
        <v>3</v>
      </c>
      <c r="V448" s="1">
        <v>2697</v>
      </c>
    </row>
    <row r="449" spans="1:22" x14ac:dyDescent="0.15">
      <c r="A449" s="2" t="str">
        <f t="shared" si="538"/>
        <v>CMO7</v>
      </c>
      <c r="B449" s="2" t="str">
        <f t="shared" si="539"/>
        <v>川西支社</v>
      </c>
      <c r="C449" s="2" t="str">
        <f t="shared" si="540"/>
        <v>PR 成都新世纪环球购物中心(CMO7)</v>
      </c>
      <c r="D449" s="2" t="str">
        <f t="shared" si="487"/>
        <v>2026</v>
      </c>
      <c r="E449" s="2" t="str">
        <f t="shared" si="488"/>
        <v>夏</v>
      </c>
      <c r="F449" s="2" t="str">
        <f t="shared" si="489"/>
        <v>一般毛衣(SWEATER)(KW)</v>
      </c>
      <c r="H449" s="2" t="str">
        <f t="shared" si="490"/>
        <v>PRKWG2303M</v>
      </c>
      <c r="I449" s="2" t="str">
        <f t="shared" si="541"/>
        <v>(99)MIX99</v>
      </c>
      <c r="J449" s="2" t="str">
        <f>"165"</f>
        <v>165</v>
      </c>
      <c r="K449" s="2" t="str">
        <f>"PRKWG2303M99165"</f>
        <v>PRKWG2303M99165</v>
      </c>
      <c r="L449" s="2" t="str">
        <f t="shared" si="491"/>
        <v>899</v>
      </c>
      <c r="M449" s="1">
        <v>1</v>
      </c>
      <c r="N449" s="1">
        <v>899</v>
      </c>
      <c r="O449" s="1">
        <v>1</v>
      </c>
      <c r="P449" s="1">
        <v>899</v>
      </c>
      <c r="Q449" s="1">
        <v>0</v>
      </c>
      <c r="R449" s="1">
        <v>0</v>
      </c>
      <c r="S449" s="1">
        <v>0</v>
      </c>
      <c r="T449" s="1">
        <v>0</v>
      </c>
      <c r="U449" s="1">
        <v>1</v>
      </c>
      <c r="V449" s="1">
        <v>899</v>
      </c>
    </row>
    <row r="450" spans="1:22" x14ac:dyDescent="0.15">
      <c r="A450" s="2" t="str">
        <f t="shared" si="538"/>
        <v>CMO7</v>
      </c>
      <c r="B450" s="2" t="str">
        <f t="shared" si="539"/>
        <v>川西支社</v>
      </c>
      <c r="C450" s="2" t="str">
        <f t="shared" si="540"/>
        <v>PR 成都新世纪环球购物中心(CMO7)</v>
      </c>
      <c r="D450" s="2" t="str">
        <f t="shared" ref="D450:D505" si="542">"2026"</f>
        <v>2026</v>
      </c>
      <c r="E450" s="2" t="str">
        <f t="shared" ref="E450:E505" si="543">"夏"</f>
        <v>夏</v>
      </c>
      <c r="F450" s="2" t="str">
        <f t="shared" ref="F450:F505" si="544">"一般毛衣(SWEATER)(KW)"</f>
        <v>一般毛衣(SWEATER)(KW)</v>
      </c>
      <c r="H450" s="2" t="str">
        <f t="shared" ref="H450:H505" si="545">"PRKWG2303M"</f>
        <v>PRKWG2303M</v>
      </c>
      <c r="I450" s="2" t="str">
        <f t="shared" si="541"/>
        <v>(99)MIX99</v>
      </c>
      <c r="J450" s="2" t="str">
        <f>"170"</f>
        <v>170</v>
      </c>
      <c r="K450" s="2" t="str">
        <f>"PRKWG2303M99170"</f>
        <v>PRKWG2303M99170</v>
      </c>
      <c r="L450" s="2" t="str">
        <f t="shared" ref="L450:L505" si="546">"899"</f>
        <v>899</v>
      </c>
      <c r="M450" s="1">
        <v>1</v>
      </c>
      <c r="N450" s="1">
        <v>899</v>
      </c>
      <c r="O450" s="1">
        <v>1</v>
      </c>
      <c r="P450" s="1">
        <v>899</v>
      </c>
      <c r="Q450" s="1">
        <v>0</v>
      </c>
      <c r="R450" s="1">
        <v>0</v>
      </c>
      <c r="S450" s="1">
        <v>0</v>
      </c>
      <c r="T450" s="1">
        <v>0</v>
      </c>
      <c r="U450" s="1">
        <v>1</v>
      </c>
      <c r="V450" s="1">
        <v>899</v>
      </c>
    </row>
    <row r="451" spans="1:22" x14ac:dyDescent="0.15">
      <c r="A451" s="2" t="str">
        <f t="shared" ref="A451:A453" si="547">"CMOX"</f>
        <v>CMOX</v>
      </c>
      <c r="B451" s="2" t="str">
        <f t="shared" ref="B451:B453" si="548">"华南支社"</f>
        <v>华南支社</v>
      </c>
      <c r="C451" s="2" t="str">
        <f t="shared" ref="C451:C453" si="549">"PR 深圳创业天虹(CMOX)"</f>
        <v>PR 深圳创业天虹(CMOX)</v>
      </c>
      <c r="D451" s="2" t="str">
        <f t="shared" si="542"/>
        <v>2026</v>
      </c>
      <c r="E451" s="2" t="str">
        <f t="shared" si="543"/>
        <v>夏</v>
      </c>
      <c r="F451" s="2" t="str">
        <f t="shared" si="544"/>
        <v>一般毛衣(SWEATER)(KW)</v>
      </c>
      <c r="H451" s="2" t="str">
        <f t="shared" si="545"/>
        <v>PRKWG2303M</v>
      </c>
      <c r="I451" s="2" t="str">
        <f t="shared" si="541"/>
        <v>(99)MIX99</v>
      </c>
      <c r="J451" s="2" t="str">
        <f t="shared" ref="J451:J454" si="550">"160"</f>
        <v>160</v>
      </c>
      <c r="K451" s="2" t="str">
        <f>"PRKWG2303M99160"</f>
        <v>PRKWG2303M99160</v>
      </c>
      <c r="L451" s="2" t="str">
        <f t="shared" si="546"/>
        <v>899</v>
      </c>
      <c r="M451" s="1">
        <v>2</v>
      </c>
      <c r="N451" s="1">
        <v>1798</v>
      </c>
      <c r="O451" s="1">
        <v>2</v>
      </c>
      <c r="P451" s="1">
        <v>1798</v>
      </c>
      <c r="Q451" s="1">
        <v>0</v>
      </c>
      <c r="R451" s="1">
        <v>0</v>
      </c>
      <c r="S451" s="1">
        <v>0</v>
      </c>
      <c r="T451" s="1">
        <v>0</v>
      </c>
      <c r="U451" s="1">
        <v>2</v>
      </c>
      <c r="V451" s="1">
        <v>1798</v>
      </c>
    </row>
    <row r="452" spans="1:22" x14ac:dyDescent="0.15">
      <c r="A452" s="2" t="str">
        <f t="shared" si="547"/>
        <v>CMOX</v>
      </c>
      <c r="B452" s="2" t="str">
        <f t="shared" si="548"/>
        <v>华南支社</v>
      </c>
      <c r="C452" s="2" t="str">
        <f t="shared" si="549"/>
        <v>PR 深圳创业天虹(CMOX)</v>
      </c>
      <c r="D452" s="2" t="str">
        <f t="shared" si="542"/>
        <v>2026</v>
      </c>
      <c r="E452" s="2" t="str">
        <f t="shared" si="543"/>
        <v>夏</v>
      </c>
      <c r="F452" s="2" t="str">
        <f t="shared" si="544"/>
        <v>一般毛衣(SWEATER)(KW)</v>
      </c>
      <c r="H452" s="2" t="str">
        <f t="shared" si="545"/>
        <v>PRKWG2303M</v>
      </c>
      <c r="I452" s="2" t="str">
        <f t="shared" si="541"/>
        <v>(99)MIX99</v>
      </c>
      <c r="J452" s="2" t="str">
        <f t="shared" ref="J452:J455" si="551">"165"</f>
        <v>165</v>
      </c>
      <c r="K452" s="2" t="str">
        <f>"PRKWG2303M99165"</f>
        <v>PRKWG2303M99165</v>
      </c>
      <c r="L452" s="2" t="str">
        <f t="shared" si="546"/>
        <v>899</v>
      </c>
      <c r="M452" s="1">
        <v>1</v>
      </c>
      <c r="N452" s="1">
        <v>899</v>
      </c>
      <c r="O452" s="1">
        <v>1</v>
      </c>
      <c r="P452" s="1">
        <v>899</v>
      </c>
      <c r="Q452" s="1">
        <v>0</v>
      </c>
      <c r="R452" s="1">
        <v>0</v>
      </c>
      <c r="S452" s="1">
        <v>0</v>
      </c>
      <c r="T452" s="1">
        <v>0</v>
      </c>
      <c r="U452" s="1">
        <v>1</v>
      </c>
      <c r="V452" s="1">
        <v>899</v>
      </c>
    </row>
    <row r="453" spans="1:22" x14ac:dyDescent="0.15">
      <c r="A453" s="2" t="str">
        <f t="shared" si="547"/>
        <v>CMOX</v>
      </c>
      <c r="B453" s="2" t="str">
        <f t="shared" si="548"/>
        <v>华南支社</v>
      </c>
      <c r="C453" s="2" t="str">
        <f t="shared" si="549"/>
        <v>PR 深圳创业天虹(CMOX)</v>
      </c>
      <c r="D453" s="2" t="str">
        <f t="shared" si="542"/>
        <v>2026</v>
      </c>
      <c r="E453" s="2" t="str">
        <f t="shared" si="543"/>
        <v>夏</v>
      </c>
      <c r="F453" s="2" t="str">
        <f t="shared" si="544"/>
        <v>一般毛衣(SWEATER)(KW)</v>
      </c>
      <c r="H453" s="2" t="str">
        <f t="shared" si="545"/>
        <v>PRKWG2303M</v>
      </c>
      <c r="I453" s="2" t="str">
        <f t="shared" si="541"/>
        <v>(99)MIX99</v>
      </c>
      <c r="J453" s="2" t="str">
        <f>"170"</f>
        <v>170</v>
      </c>
      <c r="K453" s="2" t="str">
        <f>"PRKWG2303M99170"</f>
        <v>PRKWG2303M99170</v>
      </c>
      <c r="L453" s="2" t="str">
        <f t="shared" si="546"/>
        <v>899</v>
      </c>
      <c r="M453" s="1">
        <v>1</v>
      </c>
      <c r="N453" s="1">
        <v>899</v>
      </c>
      <c r="O453" s="1">
        <v>1</v>
      </c>
      <c r="P453" s="1">
        <v>899</v>
      </c>
      <c r="Q453" s="1">
        <v>0</v>
      </c>
      <c r="R453" s="1">
        <v>0</v>
      </c>
      <c r="S453" s="1">
        <v>0</v>
      </c>
      <c r="T453" s="1">
        <v>0</v>
      </c>
      <c r="U453" s="1">
        <v>1</v>
      </c>
      <c r="V453" s="1">
        <v>899</v>
      </c>
    </row>
    <row r="454" spans="1:22" x14ac:dyDescent="0.15">
      <c r="A454" s="2" t="str">
        <f>"CMQ3"</f>
        <v>CMQ3</v>
      </c>
      <c r="B454" s="2" t="str">
        <f>"东南支社"</f>
        <v>东南支社</v>
      </c>
      <c r="C454" s="2" t="str">
        <f>"PR 福州天虹 特卖场(CMQ3)"</f>
        <v>PR 福州天虹 特卖场(CMQ3)</v>
      </c>
      <c r="D454" s="2" t="str">
        <f t="shared" si="542"/>
        <v>2026</v>
      </c>
      <c r="E454" s="2" t="str">
        <f t="shared" si="543"/>
        <v>夏</v>
      </c>
      <c r="F454" s="2" t="str">
        <f t="shared" si="544"/>
        <v>一般毛衣(SWEATER)(KW)</v>
      </c>
      <c r="H454" s="2" t="str">
        <f t="shared" si="545"/>
        <v>PRKWG2303M</v>
      </c>
      <c r="I454" s="2" t="str">
        <f t="shared" si="541"/>
        <v>(99)MIX99</v>
      </c>
      <c r="J454" s="2" t="str">
        <f t="shared" si="550"/>
        <v>160</v>
      </c>
      <c r="K454" s="2" t="str">
        <f>"PRKWG2303M99160"</f>
        <v>PRKWG2303M99160</v>
      </c>
      <c r="L454" s="2" t="str">
        <f t="shared" si="546"/>
        <v>899</v>
      </c>
      <c r="M454" s="1">
        <v>2</v>
      </c>
      <c r="N454" s="1">
        <v>1798</v>
      </c>
      <c r="O454" s="1">
        <v>2</v>
      </c>
      <c r="P454" s="1">
        <v>1798</v>
      </c>
      <c r="Q454" s="1">
        <v>0</v>
      </c>
      <c r="R454" s="1">
        <v>0</v>
      </c>
      <c r="S454" s="1">
        <v>0</v>
      </c>
      <c r="T454" s="1">
        <v>0</v>
      </c>
      <c r="U454" s="1">
        <v>2</v>
      </c>
      <c r="V454" s="1">
        <v>1798</v>
      </c>
    </row>
    <row r="455" spans="1:22" x14ac:dyDescent="0.15">
      <c r="A455" s="2" t="str">
        <f>"CMQ3"</f>
        <v>CMQ3</v>
      </c>
      <c r="B455" s="2" t="str">
        <f>"东南支社"</f>
        <v>东南支社</v>
      </c>
      <c r="C455" s="2" t="str">
        <f>"PR 福州天虹 特卖场(CMQ3)"</f>
        <v>PR 福州天虹 特卖场(CMQ3)</v>
      </c>
      <c r="D455" s="2" t="str">
        <f t="shared" si="542"/>
        <v>2026</v>
      </c>
      <c r="E455" s="2" t="str">
        <f t="shared" si="543"/>
        <v>夏</v>
      </c>
      <c r="F455" s="2" t="str">
        <f t="shared" si="544"/>
        <v>一般毛衣(SWEATER)(KW)</v>
      </c>
      <c r="H455" s="2" t="str">
        <f t="shared" si="545"/>
        <v>PRKWG2303M</v>
      </c>
      <c r="I455" s="2" t="str">
        <f t="shared" si="541"/>
        <v>(99)MIX99</v>
      </c>
      <c r="J455" s="2" t="str">
        <f t="shared" si="551"/>
        <v>165</v>
      </c>
      <c r="K455" s="2" t="str">
        <f>"PRKWG2303M99165"</f>
        <v>PRKWG2303M99165</v>
      </c>
      <c r="L455" s="2" t="str">
        <f t="shared" si="546"/>
        <v>899</v>
      </c>
      <c r="M455" s="1">
        <v>1</v>
      </c>
      <c r="N455" s="1">
        <v>899</v>
      </c>
      <c r="O455" s="1">
        <v>1</v>
      </c>
      <c r="P455" s="1">
        <v>899</v>
      </c>
      <c r="Q455" s="1">
        <v>0</v>
      </c>
      <c r="R455" s="1">
        <v>0</v>
      </c>
      <c r="S455" s="1">
        <v>0</v>
      </c>
      <c r="T455" s="1">
        <v>0</v>
      </c>
      <c r="U455" s="1">
        <v>1</v>
      </c>
      <c r="V455" s="1">
        <v>899</v>
      </c>
    </row>
    <row r="456" spans="1:22" x14ac:dyDescent="0.15">
      <c r="A456" s="2" t="str">
        <f t="shared" ref="A456:A459" si="552">"CMQK"</f>
        <v>CMQK</v>
      </c>
      <c r="B456" s="2" t="str">
        <f t="shared" ref="B456:B459" si="553">"华南支社"</f>
        <v>华南支社</v>
      </c>
      <c r="C456" s="2" t="str">
        <f t="shared" ref="C456:C459" si="554">"PR 深圳八号仓奥特莱斯(CMQK)"</f>
        <v>PR 深圳八号仓奥特莱斯(CMQK)</v>
      </c>
      <c r="D456" s="2" t="str">
        <f t="shared" si="542"/>
        <v>2026</v>
      </c>
      <c r="E456" s="2" t="str">
        <f t="shared" si="543"/>
        <v>夏</v>
      </c>
      <c r="F456" s="2" t="str">
        <f t="shared" si="544"/>
        <v>一般毛衣(SWEATER)(KW)</v>
      </c>
      <c r="H456" s="2" t="str">
        <f t="shared" si="545"/>
        <v>PRKWG2303M</v>
      </c>
      <c r="I456" s="2" t="str">
        <f t="shared" ref="I456:I467" si="555">"(99)MIX99"</f>
        <v>(99)MIX99</v>
      </c>
      <c r="J456" s="2" t="str">
        <f>"155"</f>
        <v>155</v>
      </c>
      <c r="K456" s="2" t="str">
        <f>"PRKWG2303M99155"</f>
        <v>PRKWG2303M99155</v>
      </c>
      <c r="L456" s="2" t="str">
        <f t="shared" si="546"/>
        <v>899</v>
      </c>
      <c r="M456" s="1">
        <v>2</v>
      </c>
      <c r="N456" s="1">
        <v>1798</v>
      </c>
      <c r="O456" s="1">
        <v>2</v>
      </c>
      <c r="P456" s="1">
        <v>1798</v>
      </c>
      <c r="Q456" s="1">
        <v>0</v>
      </c>
      <c r="R456" s="1">
        <v>0</v>
      </c>
      <c r="S456" s="1">
        <v>0</v>
      </c>
      <c r="T456" s="1">
        <v>0</v>
      </c>
      <c r="U456" s="1">
        <v>2</v>
      </c>
      <c r="V456" s="1">
        <v>1798</v>
      </c>
    </row>
    <row r="457" spans="1:22" x14ac:dyDescent="0.15">
      <c r="A457" s="2" t="str">
        <f t="shared" si="552"/>
        <v>CMQK</v>
      </c>
      <c r="B457" s="2" t="str">
        <f t="shared" si="553"/>
        <v>华南支社</v>
      </c>
      <c r="C457" s="2" t="str">
        <f t="shared" si="554"/>
        <v>PR 深圳八号仓奥特莱斯(CMQK)</v>
      </c>
      <c r="D457" s="2" t="str">
        <f t="shared" si="542"/>
        <v>2026</v>
      </c>
      <c r="E457" s="2" t="str">
        <f t="shared" si="543"/>
        <v>夏</v>
      </c>
      <c r="F457" s="2" t="str">
        <f t="shared" si="544"/>
        <v>一般毛衣(SWEATER)(KW)</v>
      </c>
      <c r="H457" s="2" t="str">
        <f t="shared" si="545"/>
        <v>PRKWG2303M</v>
      </c>
      <c r="I457" s="2" t="str">
        <f t="shared" si="555"/>
        <v>(99)MIX99</v>
      </c>
      <c r="J457" s="2" t="str">
        <f t="shared" ref="J457:J462" si="556">"160"</f>
        <v>160</v>
      </c>
      <c r="K457" s="2" t="str">
        <f t="shared" ref="K457:K462" si="557">"PRKWG2303M99160"</f>
        <v>PRKWG2303M99160</v>
      </c>
      <c r="L457" s="2" t="str">
        <f t="shared" si="546"/>
        <v>899</v>
      </c>
      <c r="M457" s="1">
        <v>4</v>
      </c>
      <c r="N457" s="1">
        <v>3596</v>
      </c>
      <c r="O457" s="1">
        <v>4</v>
      </c>
      <c r="P457" s="1">
        <v>3596</v>
      </c>
      <c r="Q457" s="1">
        <v>0</v>
      </c>
      <c r="R457" s="1">
        <v>0</v>
      </c>
      <c r="S457" s="1">
        <v>0</v>
      </c>
      <c r="T457" s="1">
        <v>0</v>
      </c>
      <c r="U457" s="1">
        <v>4</v>
      </c>
      <c r="V457" s="1">
        <v>3596</v>
      </c>
    </row>
    <row r="458" spans="1:22" x14ac:dyDescent="0.15">
      <c r="A458" s="2" t="str">
        <f t="shared" si="552"/>
        <v>CMQK</v>
      </c>
      <c r="B458" s="2" t="str">
        <f t="shared" si="553"/>
        <v>华南支社</v>
      </c>
      <c r="C458" s="2" t="str">
        <f t="shared" si="554"/>
        <v>PR 深圳八号仓奥特莱斯(CMQK)</v>
      </c>
      <c r="D458" s="2" t="str">
        <f t="shared" si="542"/>
        <v>2026</v>
      </c>
      <c r="E458" s="2" t="str">
        <f t="shared" si="543"/>
        <v>夏</v>
      </c>
      <c r="F458" s="2" t="str">
        <f t="shared" si="544"/>
        <v>一般毛衣(SWEATER)(KW)</v>
      </c>
      <c r="H458" s="2" t="str">
        <f t="shared" si="545"/>
        <v>PRKWG2303M</v>
      </c>
      <c r="I458" s="2" t="str">
        <f t="shared" si="555"/>
        <v>(99)MIX99</v>
      </c>
      <c r="J458" s="2" t="str">
        <f>"165"</f>
        <v>165</v>
      </c>
      <c r="K458" s="2" t="str">
        <f>"PRKWG2303M99165"</f>
        <v>PRKWG2303M99165</v>
      </c>
      <c r="L458" s="2" t="str">
        <f t="shared" si="546"/>
        <v>899</v>
      </c>
      <c r="M458" s="1">
        <v>3</v>
      </c>
      <c r="N458" s="1">
        <v>2697</v>
      </c>
      <c r="O458" s="1">
        <v>3</v>
      </c>
      <c r="P458" s="1">
        <v>2697</v>
      </c>
      <c r="Q458" s="1">
        <v>0</v>
      </c>
      <c r="R458" s="1">
        <v>0</v>
      </c>
      <c r="S458" s="1">
        <v>0</v>
      </c>
      <c r="T458" s="1">
        <v>0</v>
      </c>
      <c r="U458" s="1">
        <v>3</v>
      </c>
      <c r="V458" s="1">
        <v>2697</v>
      </c>
    </row>
    <row r="459" spans="1:22" x14ac:dyDescent="0.15">
      <c r="A459" s="2" t="str">
        <f t="shared" si="552"/>
        <v>CMQK</v>
      </c>
      <c r="B459" s="2" t="str">
        <f t="shared" si="553"/>
        <v>华南支社</v>
      </c>
      <c r="C459" s="2" t="str">
        <f t="shared" si="554"/>
        <v>PR 深圳八号仓奥特莱斯(CMQK)</v>
      </c>
      <c r="D459" s="2" t="str">
        <f t="shared" si="542"/>
        <v>2026</v>
      </c>
      <c r="E459" s="2" t="str">
        <f t="shared" si="543"/>
        <v>夏</v>
      </c>
      <c r="F459" s="2" t="str">
        <f t="shared" si="544"/>
        <v>一般毛衣(SWEATER)(KW)</v>
      </c>
      <c r="H459" s="2" t="str">
        <f t="shared" si="545"/>
        <v>PRKWG2303M</v>
      </c>
      <c r="I459" s="2" t="str">
        <f t="shared" si="555"/>
        <v>(99)MIX99</v>
      </c>
      <c r="J459" s="2" t="str">
        <f>"170"</f>
        <v>170</v>
      </c>
      <c r="K459" s="2" t="str">
        <f>"PRKWG2303M99170"</f>
        <v>PRKWG2303M99170</v>
      </c>
      <c r="L459" s="2" t="str">
        <f t="shared" si="546"/>
        <v>899</v>
      </c>
      <c r="M459" s="1">
        <v>2</v>
      </c>
      <c r="N459" s="1">
        <v>1798</v>
      </c>
      <c r="O459" s="1">
        <v>2</v>
      </c>
      <c r="P459" s="1">
        <v>1798</v>
      </c>
      <c r="Q459" s="1">
        <v>0</v>
      </c>
      <c r="R459" s="1">
        <v>0</v>
      </c>
      <c r="S459" s="1">
        <v>0</v>
      </c>
      <c r="T459" s="1">
        <v>0</v>
      </c>
      <c r="U459" s="1">
        <v>2</v>
      </c>
      <c r="V459" s="1">
        <v>1798</v>
      </c>
    </row>
    <row r="460" spans="1:22" x14ac:dyDescent="0.15">
      <c r="A460" s="2" t="str">
        <f>"CMQS"</f>
        <v>CMQS</v>
      </c>
      <c r="B460" s="2" t="str">
        <f>"西北支社"</f>
        <v>西北支社</v>
      </c>
      <c r="C460" s="2" t="str">
        <f>"PR 银川砂之船奥莱(CMQS)"</f>
        <v>PR 银川砂之船奥莱(CMQS)</v>
      </c>
      <c r="D460" s="2" t="str">
        <f t="shared" si="542"/>
        <v>2026</v>
      </c>
      <c r="E460" s="2" t="str">
        <f t="shared" si="543"/>
        <v>夏</v>
      </c>
      <c r="F460" s="2" t="str">
        <f t="shared" si="544"/>
        <v>一般毛衣(SWEATER)(KW)</v>
      </c>
      <c r="H460" s="2" t="str">
        <f t="shared" si="545"/>
        <v>PRKWG2303M</v>
      </c>
      <c r="I460" s="2" t="str">
        <f t="shared" si="555"/>
        <v>(99)MIX99</v>
      </c>
      <c r="J460" s="2" t="str">
        <f t="shared" si="556"/>
        <v>160</v>
      </c>
      <c r="K460" s="2" t="str">
        <f t="shared" si="557"/>
        <v>PRKWG2303M99160</v>
      </c>
      <c r="L460" s="2" t="str">
        <f t="shared" si="546"/>
        <v>899</v>
      </c>
      <c r="M460" s="1">
        <v>2</v>
      </c>
      <c r="N460" s="1">
        <v>1798</v>
      </c>
      <c r="O460" s="1">
        <v>2</v>
      </c>
      <c r="P460" s="1">
        <v>1798</v>
      </c>
      <c r="Q460" s="1">
        <v>0</v>
      </c>
      <c r="R460" s="1">
        <v>0</v>
      </c>
      <c r="S460" s="1">
        <v>1</v>
      </c>
      <c r="T460" s="1">
        <v>899</v>
      </c>
      <c r="U460" s="1">
        <v>3</v>
      </c>
      <c r="V460" s="1">
        <v>2697</v>
      </c>
    </row>
    <row r="461" spans="1:22" x14ac:dyDescent="0.15">
      <c r="A461" s="2" t="str">
        <f>"CMQS"</f>
        <v>CMQS</v>
      </c>
      <c r="B461" s="2" t="str">
        <f>"西北支社"</f>
        <v>西北支社</v>
      </c>
      <c r="C461" s="2" t="str">
        <f>"PR 银川砂之船奥莱(CMQS)"</f>
        <v>PR 银川砂之船奥莱(CMQS)</v>
      </c>
      <c r="D461" s="2" t="str">
        <f t="shared" si="542"/>
        <v>2026</v>
      </c>
      <c r="E461" s="2" t="str">
        <f t="shared" si="543"/>
        <v>夏</v>
      </c>
      <c r="F461" s="2" t="str">
        <f t="shared" si="544"/>
        <v>一般毛衣(SWEATER)(KW)</v>
      </c>
      <c r="H461" s="2" t="str">
        <f t="shared" si="545"/>
        <v>PRKWG2303M</v>
      </c>
      <c r="I461" s="2" t="str">
        <f t="shared" si="555"/>
        <v>(99)MIX99</v>
      </c>
      <c r="J461" s="2" t="str">
        <f>"165"</f>
        <v>165</v>
      </c>
      <c r="K461" s="2" t="str">
        <f>"PRKWG2303M99165"</f>
        <v>PRKWG2303M99165</v>
      </c>
      <c r="L461" s="2" t="str">
        <f t="shared" si="546"/>
        <v>899</v>
      </c>
      <c r="M461" s="1">
        <v>1</v>
      </c>
      <c r="N461" s="1">
        <v>899</v>
      </c>
      <c r="O461" s="1">
        <v>1</v>
      </c>
      <c r="P461" s="1">
        <v>899</v>
      </c>
      <c r="Q461" s="1">
        <v>0</v>
      </c>
      <c r="R461" s="1">
        <v>0</v>
      </c>
      <c r="S461" s="1">
        <v>0</v>
      </c>
      <c r="T461" s="1">
        <v>0</v>
      </c>
      <c r="U461" s="1">
        <v>1</v>
      </c>
      <c r="V461" s="1">
        <v>899</v>
      </c>
    </row>
    <row r="462" spans="1:22" x14ac:dyDescent="0.15">
      <c r="A462" s="2" t="str">
        <f>"CMQU"</f>
        <v>CMQU</v>
      </c>
      <c r="B462" s="2" t="str">
        <f>"浙江支社"</f>
        <v>浙江支社</v>
      </c>
      <c r="C462" s="2" t="str">
        <f>"PR 淮南新世界(CMQU)"</f>
        <v>PR 淮南新世界(CMQU)</v>
      </c>
      <c r="D462" s="2" t="str">
        <f t="shared" si="542"/>
        <v>2026</v>
      </c>
      <c r="E462" s="2" t="str">
        <f t="shared" si="543"/>
        <v>夏</v>
      </c>
      <c r="F462" s="2" t="str">
        <f t="shared" si="544"/>
        <v>一般毛衣(SWEATER)(KW)</v>
      </c>
      <c r="H462" s="2" t="str">
        <f t="shared" si="545"/>
        <v>PRKWG2303M</v>
      </c>
      <c r="I462" s="2" t="str">
        <f t="shared" si="555"/>
        <v>(99)MIX99</v>
      </c>
      <c r="J462" s="2" t="str">
        <f t="shared" si="556"/>
        <v>160</v>
      </c>
      <c r="K462" s="2" t="str">
        <f t="shared" si="557"/>
        <v>PRKWG2303M99160</v>
      </c>
      <c r="L462" s="2" t="str">
        <f t="shared" si="546"/>
        <v>899</v>
      </c>
      <c r="M462" s="1">
        <v>2</v>
      </c>
      <c r="N462" s="1">
        <v>1798</v>
      </c>
      <c r="O462" s="1">
        <v>2</v>
      </c>
      <c r="P462" s="1">
        <v>1798</v>
      </c>
      <c r="Q462" s="1">
        <v>0</v>
      </c>
      <c r="R462" s="1">
        <v>0</v>
      </c>
      <c r="S462" s="1">
        <v>0</v>
      </c>
      <c r="T462" s="1">
        <v>0</v>
      </c>
      <c r="U462" s="1">
        <v>2</v>
      </c>
      <c r="V462" s="1">
        <v>1798</v>
      </c>
    </row>
    <row r="463" spans="1:22" x14ac:dyDescent="0.15">
      <c r="A463" s="2" t="str">
        <f t="shared" ref="A463:A465" si="558">"CMR0"</f>
        <v>CMR0</v>
      </c>
      <c r="B463" s="2" t="str">
        <f t="shared" ref="B463:B465" si="559">"华中支社"</f>
        <v>华中支社</v>
      </c>
      <c r="C463" s="2" t="str">
        <f t="shared" ref="C463:C465" si="560">"PR 衡阳杉杉奥莱(CMR0)"</f>
        <v>PR 衡阳杉杉奥莱(CMR0)</v>
      </c>
      <c r="D463" s="2" t="str">
        <f t="shared" si="542"/>
        <v>2026</v>
      </c>
      <c r="E463" s="2" t="str">
        <f t="shared" si="543"/>
        <v>夏</v>
      </c>
      <c r="F463" s="2" t="str">
        <f t="shared" si="544"/>
        <v>一般毛衣(SWEATER)(KW)</v>
      </c>
      <c r="H463" s="2" t="str">
        <f t="shared" si="545"/>
        <v>PRKWG2303M</v>
      </c>
      <c r="I463" s="2" t="str">
        <f t="shared" si="555"/>
        <v>(99)MIX99</v>
      </c>
      <c r="J463" s="2" t="str">
        <f>"155"</f>
        <v>155</v>
      </c>
      <c r="K463" s="2" t="str">
        <f>"PRKWG2303M99155"</f>
        <v>PRKWG2303M99155</v>
      </c>
      <c r="L463" s="2" t="str">
        <f t="shared" si="546"/>
        <v>899</v>
      </c>
      <c r="M463" s="1">
        <v>1</v>
      </c>
      <c r="N463" s="1">
        <v>899</v>
      </c>
      <c r="O463" s="1">
        <v>1</v>
      </c>
      <c r="P463" s="1">
        <v>899</v>
      </c>
      <c r="Q463" s="1">
        <v>0</v>
      </c>
      <c r="R463" s="1">
        <v>0</v>
      </c>
      <c r="S463" s="1">
        <v>0</v>
      </c>
      <c r="T463" s="1">
        <v>0</v>
      </c>
      <c r="U463" s="1">
        <v>1</v>
      </c>
      <c r="V463" s="1">
        <v>899</v>
      </c>
    </row>
    <row r="464" spans="1:22" x14ac:dyDescent="0.15">
      <c r="A464" s="2" t="str">
        <f t="shared" si="558"/>
        <v>CMR0</v>
      </c>
      <c r="B464" s="2" t="str">
        <f t="shared" si="559"/>
        <v>华中支社</v>
      </c>
      <c r="C464" s="2" t="str">
        <f t="shared" si="560"/>
        <v>PR 衡阳杉杉奥莱(CMR0)</v>
      </c>
      <c r="D464" s="2" t="str">
        <f t="shared" si="542"/>
        <v>2026</v>
      </c>
      <c r="E464" s="2" t="str">
        <f t="shared" si="543"/>
        <v>夏</v>
      </c>
      <c r="F464" s="2" t="str">
        <f t="shared" si="544"/>
        <v>一般毛衣(SWEATER)(KW)</v>
      </c>
      <c r="H464" s="2" t="str">
        <f t="shared" si="545"/>
        <v>PRKWG2303M</v>
      </c>
      <c r="I464" s="2" t="str">
        <f t="shared" si="555"/>
        <v>(99)MIX99</v>
      </c>
      <c r="J464" s="2" t="str">
        <f t="shared" ref="J464:J466" si="561">"160"</f>
        <v>160</v>
      </c>
      <c r="K464" s="2" t="str">
        <f>"PRKWG2303M99160"</f>
        <v>PRKWG2303M99160</v>
      </c>
      <c r="L464" s="2" t="str">
        <f t="shared" si="546"/>
        <v>899</v>
      </c>
      <c r="M464" s="1">
        <v>1</v>
      </c>
      <c r="N464" s="1">
        <v>899</v>
      </c>
      <c r="O464" s="1">
        <v>1</v>
      </c>
      <c r="P464" s="1">
        <v>899</v>
      </c>
      <c r="Q464" s="1">
        <v>0</v>
      </c>
      <c r="R464" s="1">
        <v>0</v>
      </c>
      <c r="S464" s="1">
        <v>0</v>
      </c>
      <c r="T464" s="1">
        <v>0</v>
      </c>
      <c r="U464" s="1">
        <v>1</v>
      </c>
      <c r="V464" s="1">
        <v>899</v>
      </c>
    </row>
    <row r="465" spans="1:22" x14ac:dyDescent="0.15">
      <c r="A465" s="2" t="str">
        <f t="shared" si="558"/>
        <v>CMR0</v>
      </c>
      <c r="B465" s="2" t="str">
        <f t="shared" si="559"/>
        <v>华中支社</v>
      </c>
      <c r="C465" s="2" t="str">
        <f t="shared" si="560"/>
        <v>PR 衡阳杉杉奥莱(CMR0)</v>
      </c>
      <c r="D465" s="2" t="str">
        <f t="shared" si="542"/>
        <v>2026</v>
      </c>
      <c r="E465" s="2" t="str">
        <f t="shared" si="543"/>
        <v>夏</v>
      </c>
      <c r="F465" s="2" t="str">
        <f t="shared" si="544"/>
        <v>一般毛衣(SWEATER)(KW)</v>
      </c>
      <c r="H465" s="2" t="str">
        <f t="shared" si="545"/>
        <v>PRKWG2303M</v>
      </c>
      <c r="I465" s="2" t="str">
        <f t="shared" si="555"/>
        <v>(99)MIX99</v>
      </c>
      <c r="J465" s="2" t="str">
        <f t="shared" ref="J465:J467" si="562">"165"</f>
        <v>165</v>
      </c>
      <c r="K465" s="2" t="str">
        <f>"PRKWG2303M99165"</f>
        <v>PRKWG2303M99165</v>
      </c>
      <c r="L465" s="2" t="str">
        <f t="shared" si="546"/>
        <v>899</v>
      </c>
      <c r="M465" s="1">
        <v>1</v>
      </c>
      <c r="N465" s="1">
        <v>899</v>
      </c>
      <c r="O465" s="1">
        <v>1</v>
      </c>
      <c r="P465" s="1">
        <v>899</v>
      </c>
      <c r="Q465" s="1">
        <v>0</v>
      </c>
      <c r="R465" s="1">
        <v>0</v>
      </c>
      <c r="S465" s="1">
        <v>0</v>
      </c>
      <c r="T465" s="1">
        <v>0</v>
      </c>
      <c r="U465" s="1">
        <v>1</v>
      </c>
      <c r="V465" s="1">
        <v>899</v>
      </c>
    </row>
    <row r="466" spans="1:22" x14ac:dyDescent="0.15">
      <c r="A466" s="2" t="str">
        <f>"CMSY"</f>
        <v>CMSY</v>
      </c>
      <c r="B466" s="2" t="str">
        <f>"河南支社"</f>
        <v>河南支社</v>
      </c>
      <c r="C466" s="2" t="str">
        <f>"PR洛阳王府井（特卖）(CMSY)"</f>
        <v>PR洛阳王府井（特卖）(CMSY)</v>
      </c>
      <c r="D466" s="2" t="str">
        <f t="shared" si="542"/>
        <v>2026</v>
      </c>
      <c r="E466" s="2" t="str">
        <f t="shared" si="543"/>
        <v>夏</v>
      </c>
      <c r="F466" s="2" t="str">
        <f t="shared" si="544"/>
        <v>一般毛衣(SWEATER)(KW)</v>
      </c>
      <c r="H466" s="2" t="str">
        <f t="shared" si="545"/>
        <v>PRKWG2303M</v>
      </c>
      <c r="I466" s="2" t="str">
        <f t="shared" si="555"/>
        <v>(99)MIX99</v>
      </c>
      <c r="J466" s="2" t="str">
        <f t="shared" si="561"/>
        <v>160</v>
      </c>
      <c r="K466" s="2" t="str">
        <f>"PRKWG2303M99160"</f>
        <v>PRKWG2303M99160</v>
      </c>
      <c r="L466" s="2" t="str">
        <f t="shared" si="546"/>
        <v>899</v>
      </c>
      <c r="M466" s="1">
        <v>1</v>
      </c>
      <c r="N466" s="1">
        <v>899</v>
      </c>
      <c r="O466" s="1">
        <v>1</v>
      </c>
      <c r="P466" s="1">
        <v>899</v>
      </c>
      <c r="Q466" s="1">
        <v>0</v>
      </c>
      <c r="R466" s="1">
        <v>0</v>
      </c>
      <c r="S466" s="1">
        <v>0</v>
      </c>
      <c r="T466" s="1">
        <v>0</v>
      </c>
      <c r="U466" s="1">
        <v>1</v>
      </c>
      <c r="V466" s="1">
        <v>899</v>
      </c>
    </row>
    <row r="467" spans="1:22" x14ac:dyDescent="0.15">
      <c r="A467" s="2" t="str">
        <f>"CMSY"</f>
        <v>CMSY</v>
      </c>
      <c r="B467" s="2" t="str">
        <f>"河南支社"</f>
        <v>河南支社</v>
      </c>
      <c r="C467" s="2" t="str">
        <f>"PR洛阳王府井（特卖）(CMSY)"</f>
        <v>PR洛阳王府井（特卖）(CMSY)</v>
      </c>
      <c r="D467" s="2" t="str">
        <f t="shared" si="542"/>
        <v>2026</v>
      </c>
      <c r="E467" s="2" t="str">
        <f t="shared" si="543"/>
        <v>夏</v>
      </c>
      <c r="F467" s="2" t="str">
        <f t="shared" si="544"/>
        <v>一般毛衣(SWEATER)(KW)</v>
      </c>
      <c r="H467" s="2" t="str">
        <f t="shared" si="545"/>
        <v>PRKWG2303M</v>
      </c>
      <c r="I467" s="2" t="str">
        <f t="shared" si="555"/>
        <v>(99)MIX99</v>
      </c>
      <c r="J467" s="2" t="str">
        <f t="shared" si="562"/>
        <v>165</v>
      </c>
      <c r="K467" s="2" t="str">
        <f>"PRKWG2303M99165"</f>
        <v>PRKWG2303M99165</v>
      </c>
      <c r="L467" s="2" t="str">
        <f t="shared" si="546"/>
        <v>899</v>
      </c>
      <c r="M467" s="1">
        <v>1</v>
      </c>
      <c r="N467" s="1">
        <v>899</v>
      </c>
      <c r="O467" s="1">
        <v>1</v>
      </c>
      <c r="P467" s="1">
        <v>899</v>
      </c>
      <c r="Q467" s="1">
        <v>0</v>
      </c>
      <c r="R467" s="1">
        <v>0</v>
      </c>
      <c r="S467" s="1">
        <v>0</v>
      </c>
      <c r="T467" s="1">
        <v>0</v>
      </c>
      <c r="U467" s="1">
        <v>1</v>
      </c>
      <c r="V467" s="1">
        <v>899</v>
      </c>
    </row>
    <row r="468" spans="1:22" x14ac:dyDescent="0.15">
      <c r="A468" s="2" t="str">
        <f t="shared" ref="A468:A471" si="563">"CMTA"</f>
        <v>CMTA</v>
      </c>
      <c r="B468" s="2" t="str">
        <f t="shared" ref="B468:B471" si="564">"重庆支社"</f>
        <v>重庆支社</v>
      </c>
      <c r="C468" s="2" t="str">
        <f t="shared" ref="C468:C471" si="565">"PR 重庆光环花园城(CMTA)"</f>
        <v>PR 重庆光环花园城(CMTA)</v>
      </c>
      <c r="D468" s="2" t="str">
        <f t="shared" si="542"/>
        <v>2026</v>
      </c>
      <c r="E468" s="2" t="str">
        <f t="shared" si="543"/>
        <v>夏</v>
      </c>
      <c r="F468" s="2" t="str">
        <f t="shared" si="544"/>
        <v>一般毛衣(SWEATER)(KW)</v>
      </c>
      <c r="H468" s="2" t="str">
        <f t="shared" si="545"/>
        <v>PRKWG2303M</v>
      </c>
      <c r="I468" s="2" t="str">
        <f t="shared" ref="I468:I484" si="566">"(99)MIX99"</f>
        <v>(99)MIX99</v>
      </c>
      <c r="J468" s="2" t="str">
        <f>"155"</f>
        <v>155</v>
      </c>
      <c r="K468" s="2" t="str">
        <f>"PRKWG2303M99155"</f>
        <v>PRKWG2303M99155</v>
      </c>
      <c r="L468" s="2" t="str">
        <f t="shared" si="546"/>
        <v>899</v>
      </c>
      <c r="M468" s="1">
        <v>1</v>
      </c>
      <c r="N468" s="1">
        <v>899</v>
      </c>
      <c r="O468" s="1">
        <v>1</v>
      </c>
      <c r="P468" s="1">
        <v>899</v>
      </c>
      <c r="Q468" s="1">
        <v>0</v>
      </c>
      <c r="R468" s="1">
        <v>0</v>
      </c>
      <c r="S468" s="1">
        <v>0</v>
      </c>
      <c r="T468" s="1">
        <v>0</v>
      </c>
      <c r="U468" s="1">
        <v>1</v>
      </c>
      <c r="V468" s="1">
        <v>899</v>
      </c>
    </row>
    <row r="469" spans="1:22" x14ac:dyDescent="0.15">
      <c r="A469" s="2" t="str">
        <f t="shared" si="563"/>
        <v>CMTA</v>
      </c>
      <c r="B469" s="2" t="str">
        <f t="shared" si="564"/>
        <v>重庆支社</v>
      </c>
      <c r="C469" s="2" t="str">
        <f t="shared" si="565"/>
        <v>PR 重庆光环花园城(CMTA)</v>
      </c>
      <c r="D469" s="2" t="str">
        <f t="shared" si="542"/>
        <v>2026</v>
      </c>
      <c r="E469" s="2" t="str">
        <f t="shared" si="543"/>
        <v>夏</v>
      </c>
      <c r="F469" s="2" t="str">
        <f t="shared" si="544"/>
        <v>一般毛衣(SWEATER)(KW)</v>
      </c>
      <c r="H469" s="2" t="str">
        <f t="shared" si="545"/>
        <v>PRKWG2303M</v>
      </c>
      <c r="I469" s="2" t="str">
        <f t="shared" si="566"/>
        <v>(99)MIX99</v>
      </c>
      <c r="J469" s="2" t="str">
        <f>"160"</f>
        <v>160</v>
      </c>
      <c r="K469" s="2" t="str">
        <f>"PRKWG2303M99160"</f>
        <v>PRKWG2303M99160</v>
      </c>
      <c r="L469" s="2" t="str">
        <f t="shared" si="546"/>
        <v>899</v>
      </c>
      <c r="M469" s="1">
        <v>1</v>
      </c>
      <c r="N469" s="1">
        <v>899</v>
      </c>
      <c r="O469" s="1">
        <v>1</v>
      </c>
      <c r="P469" s="1">
        <v>899</v>
      </c>
      <c r="Q469" s="1">
        <v>0</v>
      </c>
      <c r="R469" s="1">
        <v>0</v>
      </c>
      <c r="S469" s="1">
        <v>0</v>
      </c>
      <c r="T469" s="1">
        <v>0</v>
      </c>
      <c r="U469" s="1">
        <v>1</v>
      </c>
      <c r="V469" s="1">
        <v>899</v>
      </c>
    </row>
    <row r="470" spans="1:22" x14ac:dyDescent="0.15">
      <c r="A470" s="2" t="str">
        <f t="shared" si="563"/>
        <v>CMTA</v>
      </c>
      <c r="B470" s="2" t="str">
        <f t="shared" si="564"/>
        <v>重庆支社</v>
      </c>
      <c r="C470" s="2" t="str">
        <f t="shared" si="565"/>
        <v>PR 重庆光环花园城(CMTA)</v>
      </c>
      <c r="D470" s="2" t="str">
        <f t="shared" si="542"/>
        <v>2026</v>
      </c>
      <c r="E470" s="2" t="str">
        <f t="shared" si="543"/>
        <v>夏</v>
      </c>
      <c r="F470" s="2" t="str">
        <f t="shared" si="544"/>
        <v>一般毛衣(SWEATER)(KW)</v>
      </c>
      <c r="H470" s="2" t="str">
        <f t="shared" si="545"/>
        <v>PRKWG2303M</v>
      </c>
      <c r="I470" s="2" t="str">
        <f t="shared" si="566"/>
        <v>(99)MIX99</v>
      </c>
      <c r="J470" s="2" t="str">
        <f>"165"</f>
        <v>165</v>
      </c>
      <c r="K470" s="2" t="str">
        <f>"PRKWG2303M99165"</f>
        <v>PRKWG2303M99165</v>
      </c>
      <c r="L470" s="2" t="str">
        <f t="shared" si="546"/>
        <v>899</v>
      </c>
      <c r="M470" s="1">
        <v>3</v>
      </c>
      <c r="N470" s="1">
        <v>2697</v>
      </c>
      <c r="O470" s="1">
        <v>3</v>
      </c>
      <c r="P470" s="1">
        <v>2697</v>
      </c>
      <c r="Q470" s="1">
        <v>0</v>
      </c>
      <c r="R470" s="1">
        <v>0</v>
      </c>
      <c r="S470" s="1">
        <v>0</v>
      </c>
      <c r="T470" s="1">
        <v>0</v>
      </c>
      <c r="U470" s="1">
        <v>3</v>
      </c>
      <c r="V470" s="1">
        <v>2697</v>
      </c>
    </row>
    <row r="471" spans="1:22" x14ac:dyDescent="0.15">
      <c r="A471" s="2" t="str">
        <f t="shared" si="563"/>
        <v>CMTA</v>
      </c>
      <c r="B471" s="2" t="str">
        <f t="shared" si="564"/>
        <v>重庆支社</v>
      </c>
      <c r="C471" s="2" t="str">
        <f t="shared" si="565"/>
        <v>PR 重庆光环花园城(CMTA)</v>
      </c>
      <c r="D471" s="2" t="str">
        <f t="shared" si="542"/>
        <v>2026</v>
      </c>
      <c r="E471" s="2" t="str">
        <f t="shared" si="543"/>
        <v>夏</v>
      </c>
      <c r="F471" s="2" t="str">
        <f t="shared" si="544"/>
        <v>一般毛衣(SWEATER)(KW)</v>
      </c>
      <c r="H471" s="2" t="str">
        <f t="shared" si="545"/>
        <v>PRKWG2303M</v>
      </c>
      <c r="I471" s="2" t="str">
        <f t="shared" si="566"/>
        <v>(99)MIX99</v>
      </c>
      <c r="J471" s="2" t="str">
        <f>"170"</f>
        <v>170</v>
      </c>
      <c r="K471" s="2" t="str">
        <f>"PRKWG2303M99170"</f>
        <v>PRKWG2303M99170</v>
      </c>
      <c r="L471" s="2" t="str">
        <f t="shared" si="546"/>
        <v>899</v>
      </c>
      <c r="M471" s="1">
        <v>1</v>
      </c>
      <c r="N471" s="1">
        <v>899</v>
      </c>
      <c r="O471" s="1">
        <v>1</v>
      </c>
      <c r="P471" s="1">
        <v>899</v>
      </c>
      <c r="Q471" s="1">
        <v>0</v>
      </c>
      <c r="R471" s="1">
        <v>0</v>
      </c>
      <c r="S471" s="1">
        <v>0</v>
      </c>
      <c r="T471" s="1">
        <v>0</v>
      </c>
      <c r="U471" s="1">
        <v>1</v>
      </c>
      <c r="V471" s="1">
        <v>899</v>
      </c>
    </row>
    <row r="472" spans="1:22" x14ac:dyDescent="0.15">
      <c r="A472" s="2" t="str">
        <f t="shared" ref="A472:A475" si="567">"CMTX"</f>
        <v>CMTX</v>
      </c>
      <c r="B472" s="2" t="str">
        <f t="shared" ref="B472:B475" si="568">"浙江支社"</f>
        <v>浙江支社</v>
      </c>
      <c r="C472" s="2" t="str">
        <f t="shared" ref="C472:C475" si="569">"PR 合肥杉杉奥莱(CMTX)"</f>
        <v>PR 合肥杉杉奥莱(CMTX)</v>
      </c>
      <c r="D472" s="2" t="str">
        <f t="shared" si="542"/>
        <v>2026</v>
      </c>
      <c r="E472" s="2" t="str">
        <f t="shared" si="543"/>
        <v>夏</v>
      </c>
      <c r="F472" s="2" t="str">
        <f t="shared" si="544"/>
        <v>一般毛衣(SWEATER)(KW)</v>
      </c>
      <c r="H472" s="2" t="str">
        <f t="shared" si="545"/>
        <v>PRKWG2303M</v>
      </c>
      <c r="I472" s="2" t="str">
        <f t="shared" si="566"/>
        <v>(99)MIX99</v>
      </c>
      <c r="J472" s="2" t="str">
        <f>"155"</f>
        <v>155</v>
      </c>
      <c r="K472" s="2" t="str">
        <f>"PRKWG2303M99155"</f>
        <v>PRKWG2303M99155</v>
      </c>
      <c r="L472" s="2" t="str">
        <f t="shared" si="546"/>
        <v>899</v>
      </c>
      <c r="M472" s="1">
        <v>1</v>
      </c>
      <c r="N472" s="1">
        <v>899</v>
      </c>
      <c r="O472" s="1">
        <v>1</v>
      </c>
      <c r="P472" s="1">
        <v>899</v>
      </c>
      <c r="Q472" s="1">
        <v>0</v>
      </c>
      <c r="R472" s="1">
        <v>0</v>
      </c>
      <c r="S472" s="1">
        <v>0</v>
      </c>
      <c r="T472" s="1">
        <v>0</v>
      </c>
      <c r="U472" s="1">
        <v>1</v>
      </c>
      <c r="V472" s="1">
        <v>899</v>
      </c>
    </row>
    <row r="473" spans="1:22" x14ac:dyDescent="0.15">
      <c r="A473" s="2" t="str">
        <f t="shared" si="567"/>
        <v>CMTX</v>
      </c>
      <c r="B473" s="2" t="str">
        <f t="shared" si="568"/>
        <v>浙江支社</v>
      </c>
      <c r="C473" s="2" t="str">
        <f t="shared" si="569"/>
        <v>PR 合肥杉杉奥莱(CMTX)</v>
      </c>
      <c r="D473" s="2" t="str">
        <f t="shared" si="542"/>
        <v>2026</v>
      </c>
      <c r="E473" s="2" t="str">
        <f t="shared" si="543"/>
        <v>夏</v>
      </c>
      <c r="F473" s="2" t="str">
        <f t="shared" si="544"/>
        <v>一般毛衣(SWEATER)(KW)</v>
      </c>
      <c r="H473" s="2" t="str">
        <f t="shared" si="545"/>
        <v>PRKWG2303M</v>
      </c>
      <c r="I473" s="2" t="str">
        <f t="shared" si="566"/>
        <v>(99)MIX99</v>
      </c>
      <c r="J473" s="2" t="str">
        <f>"160"</f>
        <v>160</v>
      </c>
      <c r="K473" s="2" t="str">
        <f>"PRKWG2303M99160"</f>
        <v>PRKWG2303M99160</v>
      </c>
      <c r="L473" s="2" t="str">
        <f t="shared" si="546"/>
        <v>899</v>
      </c>
      <c r="M473" s="1">
        <v>2</v>
      </c>
      <c r="N473" s="1">
        <v>1798</v>
      </c>
      <c r="O473" s="1">
        <v>2</v>
      </c>
      <c r="P473" s="1">
        <v>1798</v>
      </c>
      <c r="Q473" s="1">
        <v>0</v>
      </c>
      <c r="R473" s="1">
        <v>0</v>
      </c>
      <c r="S473" s="1">
        <v>0</v>
      </c>
      <c r="T473" s="1">
        <v>0</v>
      </c>
      <c r="U473" s="1">
        <v>2</v>
      </c>
      <c r="V473" s="1">
        <v>1798</v>
      </c>
    </row>
    <row r="474" spans="1:22" x14ac:dyDescent="0.15">
      <c r="A474" s="2" t="str">
        <f t="shared" si="567"/>
        <v>CMTX</v>
      </c>
      <c r="B474" s="2" t="str">
        <f t="shared" si="568"/>
        <v>浙江支社</v>
      </c>
      <c r="C474" s="2" t="str">
        <f t="shared" si="569"/>
        <v>PR 合肥杉杉奥莱(CMTX)</v>
      </c>
      <c r="D474" s="2" t="str">
        <f t="shared" si="542"/>
        <v>2026</v>
      </c>
      <c r="E474" s="2" t="str">
        <f t="shared" si="543"/>
        <v>夏</v>
      </c>
      <c r="F474" s="2" t="str">
        <f t="shared" si="544"/>
        <v>一般毛衣(SWEATER)(KW)</v>
      </c>
      <c r="H474" s="2" t="str">
        <f t="shared" si="545"/>
        <v>PRKWG2303M</v>
      </c>
      <c r="I474" s="2" t="str">
        <f t="shared" si="566"/>
        <v>(99)MIX99</v>
      </c>
      <c r="J474" s="2" t="str">
        <f>"165"</f>
        <v>165</v>
      </c>
      <c r="K474" s="2" t="str">
        <f>"PRKWG2303M99165"</f>
        <v>PRKWG2303M99165</v>
      </c>
      <c r="L474" s="2" t="str">
        <f t="shared" si="546"/>
        <v>899</v>
      </c>
      <c r="M474" s="1">
        <v>2</v>
      </c>
      <c r="N474" s="1">
        <v>1798</v>
      </c>
      <c r="O474" s="1">
        <v>2</v>
      </c>
      <c r="P474" s="1">
        <v>1798</v>
      </c>
      <c r="Q474" s="1">
        <v>0</v>
      </c>
      <c r="R474" s="1">
        <v>0</v>
      </c>
      <c r="S474" s="1">
        <v>0</v>
      </c>
      <c r="T474" s="1">
        <v>0</v>
      </c>
      <c r="U474" s="1">
        <v>2</v>
      </c>
      <c r="V474" s="1">
        <v>1798</v>
      </c>
    </row>
    <row r="475" spans="1:22" x14ac:dyDescent="0.15">
      <c r="A475" s="2" t="str">
        <f t="shared" si="567"/>
        <v>CMTX</v>
      </c>
      <c r="B475" s="2" t="str">
        <f t="shared" si="568"/>
        <v>浙江支社</v>
      </c>
      <c r="C475" s="2" t="str">
        <f t="shared" si="569"/>
        <v>PR 合肥杉杉奥莱(CMTX)</v>
      </c>
      <c r="D475" s="2" t="str">
        <f t="shared" si="542"/>
        <v>2026</v>
      </c>
      <c r="E475" s="2" t="str">
        <f t="shared" si="543"/>
        <v>夏</v>
      </c>
      <c r="F475" s="2" t="str">
        <f t="shared" si="544"/>
        <v>一般毛衣(SWEATER)(KW)</v>
      </c>
      <c r="H475" s="2" t="str">
        <f t="shared" si="545"/>
        <v>PRKWG2303M</v>
      </c>
      <c r="I475" s="2" t="str">
        <f t="shared" si="566"/>
        <v>(99)MIX99</v>
      </c>
      <c r="J475" s="2" t="str">
        <f>"170"</f>
        <v>170</v>
      </c>
      <c r="K475" s="2" t="str">
        <f>"PRKWG2303M99170"</f>
        <v>PRKWG2303M99170</v>
      </c>
      <c r="L475" s="2" t="str">
        <f t="shared" si="546"/>
        <v>899</v>
      </c>
      <c r="M475" s="1">
        <v>1</v>
      </c>
      <c r="N475" s="1">
        <v>899</v>
      </c>
      <c r="O475" s="1">
        <v>1</v>
      </c>
      <c r="P475" s="1">
        <v>899</v>
      </c>
      <c r="Q475" s="1">
        <v>0</v>
      </c>
      <c r="R475" s="1">
        <v>0</v>
      </c>
      <c r="S475" s="1">
        <v>0</v>
      </c>
      <c r="T475" s="1">
        <v>0</v>
      </c>
      <c r="U475" s="1">
        <v>1</v>
      </c>
      <c r="V475" s="1">
        <v>899</v>
      </c>
    </row>
    <row r="476" spans="1:22" x14ac:dyDescent="0.15">
      <c r="A476" s="2" t="str">
        <f t="shared" ref="A476:A478" si="570">"CMV4"</f>
        <v>CMV4</v>
      </c>
      <c r="B476" s="2" t="str">
        <f t="shared" ref="B476:B478" si="571">"西北支社"</f>
        <v>西北支社</v>
      </c>
      <c r="C476" s="2" t="str">
        <f t="shared" ref="C476:C478" si="572">"PR 西安华阳城(CMV4)"</f>
        <v>PR 西安华阳城(CMV4)</v>
      </c>
      <c r="D476" s="2" t="str">
        <f t="shared" si="542"/>
        <v>2026</v>
      </c>
      <c r="E476" s="2" t="str">
        <f t="shared" si="543"/>
        <v>夏</v>
      </c>
      <c r="F476" s="2" t="str">
        <f t="shared" si="544"/>
        <v>一般毛衣(SWEATER)(KW)</v>
      </c>
      <c r="H476" s="2" t="str">
        <f t="shared" si="545"/>
        <v>PRKWG2303M</v>
      </c>
      <c r="I476" s="2" t="str">
        <f t="shared" si="566"/>
        <v>(99)MIX99</v>
      </c>
      <c r="J476" s="2" t="str">
        <f>"160"</f>
        <v>160</v>
      </c>
      <c r="K476" s="2" t="str">
        <f>"PRKWG2303M99160"</f>
        <v>PRKWG2303M99160</v>
      </c>
      <c r="L476" s="2" t="str">
        <f t="shared" si="546"/>
        <v>899</v>
      </c>
      <c r="M476" s="1">
        <v>3</v>
      </c>
      <c r="N476" s="1">
        <v>2697</v>
      </c>
      <c r="O476" s="1">
        <v>3</v>
      </c>
      <c r="P476" s="1">
        <v>2697</v>
      </c>
      <c r="Q476" s="1">
        <v>0</v>
      </c>
      <c r="R476" s="1">
        <v>0</v>
      </c>
      <c r="S476" s="1">
        <v>1</v>
      </c>
      <c r="T476" s="1">
        <v>899</v>
      </c>
      <c r="U476" s="1">
        <v>4</v>
      </c>
      <c r="V476" s="1">
        <v>3596</v>
      </c>
    </row>
    <row r="477" spans="1:22" x14ac:dyDescent="0.15">
      <c r="A477" s="2" t="str">
        <f t="shared" si="570"/>
        <v>CMV4</v>
      </c>
      <c r="B477" s="2" t="str">
        <f t="shared" si="571"/>
        <v>西北支社</v>
      </c>
      <c r="C477" s="2" t="str">
        <f t="shared" si="572"/>
        <v>PR 西安华阳城(CMV4)</v>
      </c>
      <c r="D477" s="2" t="str">
        <f t="shared" si="542"/>
        <v>2026</v>
      </c>
      <c r="E477" s="2" t="str">
        <f t="shared" si="543"/>
        <v>夏</v>
      </c>
      <c r="F477" s="2" t="str">
        <f t="shared" si="544"/>
        <v>一般毛衣(SWEATER)(KW)</v>
      </c>
      <c r="H477" s="2" t="str">
        <f t="shared" si="545"/>
        <v>PRKWG2303M</v>
      </c>
      <c r="I477" s="2" t="str">
        <f t="shared" si="566"/>
        <v>(99)MIX99</v>
      </c>
      <c r="J477" s="2" t="str">
        <f>"165"</f>
        <v>165</v>
      </c>
      <c r="K477" s="2" t="str">
        <f>"PRKWG2303M99165"</f>
        <v>PRKWG2303M99165</v>
      </c>
      <c r="L477" s="2" t="str">
        <f t="shared" si="546"/>
        <v>899</v>
      </c>
      <c r="M477" s="1">
        <v>1</v>
      </c>
      <c r="N477" s="1">
        <v>899</v>
      </c>
      <c r="O477" s="1">
        <v>2</v>
      </c>
      <c r="P477" s="1">
        <v>1798</v>
      </c>
      <c r="Q477" s="1">
        <v>1</v>
      </c>
      <c r="R477" s="1">
        <v>899</v>
      </c>
      <c r="S477" s="1">
        <v>0</v>
      </c>
      <c r="T477" s="1">
        <v>0</v>
      </c>
      <c r="U477" s="1">
        <v>1</v>
      </c>
      <c r="V477" s="1">
        <v>899</v>
      </c>
    </row>
    <row r="478" spans="1:22" x14ac:dyDescent="0.15">
      <c r="A478" s="2" t="str">
        <f t="shared" si="570"/>
        <v>CMV4</v>
      </c>
      <c r="B478" s="2" t="str">
        <f t="shared" si="571"/>
        <v>西北支社</v>
      </c>
      <c r="C478" s="2" t="str">
        <f t="shared" si="572"/>
        <v>PR 西安华阳城(CMV4)</v>
      </c>
      <c r="D478" s="2" t="str">
        <f t="shared" si="542"/>
        <v>2026</v>
      </c>
      <c r="E478" s="2" t="str">
        <f t="shared" si="543"/>
        <v>夏</v>
      </c>
      <c r="F478" s="2" t="str">
        <f t="shared" si="544"/>
        <v>一般毛衣(SWEATER)(KW)</v>
      </c>
      <c r="H478" s="2" t="str">
        <f t="shared" si="545"/>
        <v>PRKWG2303M</v>
      </c>
      <c r="I478" s="2" t="str">
        <f t="shared" si="566"/>
        <v>(99)MIX99</v>
      </c>
      <c r="J478" s="2" t="str">
        <f>"170"</f>
        <v>170</v>
      </c>
      <c r="K478" s="2" t="str">
        <f>"PRKWG2303M99170"</f>
        <v>PRKWG2303M99170</v>
      </c>
      <c r="L478" s="2" t="str">
        <f t="shared" si="546"/>
        <v>899</v>
      </c>
      <c r="M478" s="1">
        <v>1</v>
      </c>
      <c r="N478" s="1">
        <v>899</v>
      </c>
      <c r="O478" s="1">
        <v>1</v>
      </c>
      <c r="P478" s="1">
        <v>899</v>
      </c>
      <c r="Q478" s="1">
        <v>0</v>
      </c>
      <c r="R478" s="1">
        <v>0</v>
      </c>
      <c r="S478" s="1">
        <v>1</v>
      </c>
      <c r="T478" s="1">
        <v>899</v>
      </c>
      <c r="U478" s="1">
        <v>2</v>
      </c>
      <c r="V478" s="1">
        <v>1798</v>
      </c>
    </row>
    <row r="479" spans="1:22" x14ac:dyDescent="0.15">
      <c r="A479" s="2" t="str">
        <f t="shared" ref="A479:A481" si="573">"CMVL"</f>
        <v>CMVL</v>
      </c>
      <c r="B479" s="2" t="str">
        <f t="shared" ref="B479:B481" si="574">"浙江支社"</f>
        <v>浙江支社</v>
      </c>
      <c r="C479" s="2" t="str">
        <f t="shared" ref="C479:C481" si="575">"PR马鞍山金鹰(CMVL)"</f>
        <v>PR马鞍山金鹰(CMVL)</v>
      </c>
      <c r="D479" s="2" t="str">
        <f t="shared" si="542"/>
        <v>2026</v>
      </c>
      <c r="E479" s="2" t="str">
        <f t="shared" si="543"/>
        <v>夏</v>
      </c>
      <c r="F479" s="2" t="str">
        <f t="shared" si="544"/>
        <v>一般毛衣(SWEATER)(KW)</v>
      </c>
      <c r="H479" s="2" t="str">
        <f t="shared" si="545"/>
        <v>PRKWG2303M</v>
      </c>
      <c r="I479" s="2" t="str">
        <f t="shared" si="566"/>
        <v>(99)MIX99</v>
      </c>
      <c r="J479" s="2" t="str">
        <f>"160"</f>
        <v>160</v>
      </c>
      <c r="K479" s="2" t="str">
        <f>"PRKWG2303M99160"</f>
        <v>PRKWG2303M99160</v>
      </c>
      <c r="L479" s="2" t="str">
        <f t="shared" si="546"/>
        <v>899</v>
      </c>
      <c r="M479" s="1">
        <v>3</v>
      </c>
      <c r="N479" s="1">
        <v>2697</v>
      </c>
      <c r="O479" s="1">
        <v>3</v>
      </c>
      <c r="P479" s="1">
        <v>2697</v>
      </c>
      <c r="Q479" s="1">
        <v>0</v>
      </c>
      <c r="R479" s="1">
        <v>0</v>
      </c>
      <c r="S479" s="1">
        <v>0</v>
      </c>
      <c r="T479" s="1">
        <v>0</v>
      </c>
      <c r="U479" s="1">
        <v>3</v>
      </c>
      <c r="V479" s="1">
        <v>2697</v>
      </c>
    </row>
    <row r="480" spans="1:22" x14ac:dyDescent="0.15">
      <c r="A480" s="2" t="str">
        <f t="shared" si="573"/>
        <v>CMVL</v>
      </c>
      <c r="B480" s="2" t="str">
        <f t="shared" si="574"/>
        <v>浙江支社</v>
      </c>
      <c r="C480" s="2" t="str">
        <f t="shared" si="575"/>
        <v>PR马鞍山金鹰(CMVL)</v>
      </c>
      <c r="D480" s="2" t="str">
        <f t="shared" si="542"/>
        <v>2026</v>
      </c>
      <c r="E480" s="2" t="str">
        <f t="shared" si="543"/>
        <v>夏</v>
      </c>
      <c r="F480" s="2" t="str">
        <f t="shared" si="544"/>
        <v>一般毛衣(SWEATER)(KW)</v>
      </c>
      <c r="H480" s="2" t="str">
        <f t="shared" si="545"/>
        <v>PRKWG2303M</v>
      </c>
      <c r="I480" s="2" t="str">
        <f t="shared" si="566"/>
        <v>(99)MIX99</v>
      </c>
      <c r="J480" s="2" t="str">
        <f>"165"</f>
        <v>165</v>
      </c>
      <c r="K480" s="2" t="str">
        <f>"PRKWG2303M99165"</f>
        <v>PRKWG2303M99165</v>
      </c>
      <c r="L480" s="2" t="str">
        <f t="shared" si="546"/>
        <v>899</v>
      </c>
      <c r="M480" s="1">
        <v>3</v>
      </c>
      <c r="N480" s="1">
        <v>2697</v>
      </c>
      <c r="O480" s="1">
        <v>3</v>
      </c>
      <c r="P480" s="1">
        <v>2697</v>
      </c>
      <c r="Q480" s="1">
        <v>0</v>
      </c>
      <c r="R480" s="1">
        <v>0</v>
      </c>
      <c r="S480" s="1">
        <v>0</v>
      </c>
      <c r="T480" s="1">
        <v>0</v>
      </c>
      <c r="U480" s="1">
        <v>3</v>
      </c>
      <c r="V480" s="1">
        <v>2697</v>
      </c>
    </row>
    <row r="481" spans="1:22" x14ac:dyDescent="0.15">
      <c r="A481" s="2" t="str">
        <f t="shared" si="573"/>
        <v>CMVL</v>
      </c>
      <c r="B481" s="2" t="str">
        <f t="shared" si="574"/>
        <v>浙江支社</v>
      </c>
      <c r="C481" s="2" t="str">
        <f t="shared" si="575"/>
        <v>PR马鞍山金鹰(CMVL)</v>
      </c>
      <c r="D481" s="2" t="str">
        <f t="shared" si="542"/>
        <v>2026</v>
      </c>
      <c r="E481" s="2" t="str">
        <f t="shared" si="543"/>
        <v>夏</v>
      </c>
      <c r="F481" s="2" t="str">
        <f t="shared" si="544"/>
        <v>一般毛衣(SWEATER)(KW)</v>
      </c>
      <c r="H481" s="2" t="str">
        <f t="shared" si="545"/>
        <v>PRKWG2303M</v>
      </c>
      <c r="I481" s="2" t="str">
        <f t="shared" si="566"/>
        <v>(99)MIX99</v>
      </c>
      <c r="J481" s="2" t="str">
        <f>"170"</f>
        <v>170</v>
      </c>
      <c r="K481" s="2" t="str">
        <f>"PRKWG2303M99170"</f>
        <v>PRKWG2303M99170</v>
      </c>
      <c r="L481" s="2" t="str">
        <f t="shared" si="546"/>
        <v>899</v>
      </c>
      <c r="M481" s="1">
        <v>1</v>
      </c>
      <c r="N481" s="1">
        <v>899</v>
      </c>
      <c r="O481" s="1">
        <v>1</v>
      </c>
      <c r="P481" s="1">
        <v>899</v>
      </c>
      <c r="Q481" s="1">
        <v>0</v>
      </c>
      <c r="R481" s="1">
        <v>0</v>
      </c>
      <c r="S481" s="1">
        <v>0</v>
      </c>
      <c r="T481" s="1">
        <v>0</v>
      </c>
      <c r="U481" s="1">
        <v>1</v>
      </c>
      <c r="V481" s="1">
        <v>899</v>
      </c>
    </row>
    <row r="482" spans="1:22" x14ac:dyDescent="0.15">
      <c r="A482" s="2" t="str">
        <f t="shared" ref="A482:A484" si="576">"CMVS"</f>
        <v>CMVS</v>
      </c>
      <c r="B482" s="2" t="str">
        <f t="shared" ref="B482:B484" si="577">"华东支社"</f>
        <v>华东支社</v>
      </c>
      <c r="C482" s="2" t="str">
        <f t="shared" ref="C482:C484" si="578">"PR 连云港利群（连云港超卓商贸有限公司）(CMVS)"</f>
        <v>PR 连云港利群（连云港超卓商贸有限公司）(CMVS)</v>
      </c>
      <c r="D482" s="2" t="str">
        <f t="shared" si="542"/>
        <v>2026</v>
      </c>
      <c r="E482" s="2" t="str">
        <f t="shared" si="543"/>
        <v>夏</v>
      </c>
      <c r="F482" s="2" t="str">
        <f t="shared" si="544"/>
        <v>一般毛衣(SWEATER)(KW)</v>
      </c>
      <c r="H482" s="2" t="str">
        <f t="shared" si="545"/>
        <v>PRKWG2303M</v>
      </c>
      <c r="I482" s="2" t="str">
        <f t="shared" si="566"/>
        <v>(99)MIX99</v>
      </c>
      <c r="J482" s="2" t="str">
        <f t="shared" ref="J482:J485" si="579">"160"</f>
        <v>160</v>
      </c>
      <c r="K482" s="2" t="str">
        <f>"PRKWG2303M99160"</f>
        <v>PRKWG2303M99160</v>
      </c>
      <c r="L482" s="2" t="str">
        <f t="shared" si="546"/>
        <v>899</v>
      </c>
      <c r="M482" s="1">
        <v>2</v>
      </c>
      <c r="N482" s="1">
        <v>1798</v>
      </c>
      <c r="O482" s="1">
        <v>2</v>
      </c>
      <c r="P482" s="1">
        <v>1798</v>
      </c>
      <c r="Q482" s="1">
        <v>0</v>
      </c>
      <c r="R482" s="1">
        <v>0</v>
      </c>
      <c r="S482" s="1">
        <v>0</v>
      </c>
      <c r="T482" s="1">
        <v>0</v>
      </c>
      <c r="U482" s="1">
        <v>2</v>
      </c>
      <c r="V482" s="1">
        <v>1798</v>
      </c>
    </row>
    <row r="483" spans="1:22" x14ac:dyDescent="0.15">
      <c r="A483" s="2" t="str">
        <f t="shared" si="576"/>
        <v>CMVS</v>
      </c>
      <c r="B483" s="2" t="str">
        <f t="shared" si="577"/>
        <v>华东支社</v>
      </c>
      <c r="C483" s="2" t="str">
        <f t="shared" si="578"/>
        <v>PR 连云港利群（连云港超卓商贸有限公司）(CMVS)</v>
      </c>
      <c r="D483" s="2" t="str">
        <f t="shared" si="542"/>
        <v>2026</v>
      </c>
      <c r="E483" s="2" t="str">
        <f t="shared" si="543"/>
        <v>夏</v>
      </c>
      <c r="F483" s="2" t="str">
        <f t="shared" si="544"/>
        <v>一般毛衣(SWEATER)(KW)</v>
      </c>
      <c r="H483" s="2" t="str">
        <f t="shared" si="545"/>
        <v>PRKWG2303M</v>
      </c>
      <c r="I483" s="2" t="str">
        <f t="shared" si="566"/>
        <v>(99)MIX99</v>
      </c>
      <c r="J483" s="2" t="str">
        <f t="shared" ref="J483:J486" si="580">"165"</f>
        <v>165</v>
      </c>
      <c r="K483" s="2" t="str">
        <f>"PRKWG2303M99165"</f>
        <v>PRKWG2303M99165</v>
      </c>
      <c r="L483" s="2" t="str">
        <f t="shared" si="546"/>
        <v>899</v>
      </c>
      <c r="M483" s="1">
        <v>2</v>
      </c>
      <c r="N483" s="1">
        <v>1798</v>
      </c>
      <c r="O483" s="1">
        <v>2</v>
      </c>
      <c r="P483" s="1">
        <v>1798</v>
      </c>
      <c r="Q483" s="1">
        <v>0</v>
      </c>
      <c r="R483" s="1">
        <v>0</v>
      </c>
      <c r="S483" s="1">
        <v>0</v>
      </c>
      <c r="T483" s="1">
        <v>0</v>
      </c>
      <c r="U483" s="1">
        <v>2</v>
      </c>
      <c r="V483" s="1">
        <v>1798</v>
      </c>
    </row>
    <row r="484" spans="1:22" x14ac:dyDescent="0.15">
      <c r="A484" s="2" t="str">
        <f t="shared" si="576"/>
        <v>CMVS</v>
      </c>
      <c r="B484" s="2" t="str">
        <f t="shared" si="577"/>
        <v>华东支社</v>
      </c>
      <c r="C484" s="2" t="str">
        <f t="shared" si="578"/>
        <v>PR 连云港利群（连云港超卓商贸有限公司）(CMVS)</v>
      </c>
      <c r="D484" s="2" t="str">
        <f t="shared" si="542"/>
        <v>2026</v>
      </c>
      <c r="E484" s="2" t="str">
        <f t="shared" si="543"/>
        <v>夏</v>
      </c>
      <c r="F484" s="2" t="str">
        <f t="shared" si="544"/>
        <v>一般毛衣(SWEATER)(KW)</v>
      </c>
      <c r="H484" s="2" t="str">
        <f t="shared" si="545"/>
        <v>PRKWG2303M</v>
      </c>
      <c r="I484" s="2" t="str">
        <f t="shared" si="566"/>
        <v>(99)MIX99</v>
      </c>
      <c r="J484" s="2" t="str">
        <f>"170"</f>
        <v>170</v>
      </c>
      <c r="K484" s="2" t="str">
        <f>"PRKWG2303M99170"</f>
        <v>PRKWG2303M99170</v>
      </c>
      <c r="L484" s="2" t="str">
        <f t="shared" si="546"/>
        <v>899</v>
      </c>
      <c r="M484" s="1">
        <v>2</v>
      </c>
      <c r="N484" s="1">
        <v>1798</v>
      </c>
      <c r="O484" s="1">
        <v>2</v>
      </c>
      <c r="P484" s="1">
        <v>1798</v>
      </c>
      <c r="Q484" s="1">
        <v>0</v>
      </c>
      <c r="R484" s="1">
        <v>0</v>
      </c>
      <c r="S484" s="1">
        <v>0</v>
      </c>
      <c r="T484" s="1">
        <v>0</v>
      </c>
      <c r="U484" s="1">
        <v>2</v>
      </c>
      <c r="V484" s="1">
        <v>1798</v>
      </c>
    </row>
    <row r="485" spans="1:22" x14ac:dyDescent="0.15">
      <c r="A485" s="2" t="str">
        <f t="shared" ref="A485:A487" si="581">"CMVV"</f>
        <v>CMVV</v>
      </c>
      <c r="B485" s="2" t="str">
        <f t="shared" ref="B485:B490" si="582">"华南支社"</f>
        <v>华南支社</v>
      </c>
      <c r="C485" s="2" t="str">
        <f t="shared" ref="C485:C487" si="583">"PR 广州广百百货北京路店 特卖场(CMVV)"</f>
        <v>PR 广州广百百货北京路店 特卖场(CMVV)</v>
      </c>
      <c r="D485" s="2" t="str">
        <f t="shared" si="542"/>
        <v>2026</v>
      </c>
      <c r="E485" s="2" t="str">
        <f t="shared" si="543"/>
        <v>夏</v>
      </c>
      <c r="F485" s="2" t="str">
        <f t="shared" si="544"/>
        <v>一般毛衣(SWEATER)(KW)</v>
      </c>
      <c r="H485" s="2" t="str">
        <f t="shared" si="545"/>
        <v>PRKWG2303M</v>
      </c>
      <c r="I485" s="2" t="str">
        <f t="shared" ref="I485:I513" si="584">"(99)MIX99"</f>
        <v>(99)MIX99</v>
      </c>
      <c r="J485" s="2" t="str">
        <f t="shared" si="579"/>
        <v>160</v>
      </c>
      <c r="K485" s="2" t="str">
        <f>"PRKWG2303M99160"</f>
        <v>PRKWG2303M99160</v>
      </c>
      <c r="L485" s="2" t="str">
        <f t="shared" si="546"/>
        <v>899</v>
      </c>
      <c r="M485" s="1">
        <v>3</v>
      </c>
      <c r="N485" s="1">
        <v>2697</v>
      </c>
      <c r="O485" s="1">
        <v>3</v>
      </c>
      <c r="P485" s="1">
        <v>2697</v>
      </c>
      <c r="Q485" s="1">
        <v>0</v>
      </c>
      <c r="R485" s="1">
        <v>0</v>
      </c>
      <c r="S485" s="1">
        <v>0</v>
      </c>
      <c r="T485" s="1">
        <v>0</v>
      </c>
      <c r="U485" s="1">
        <v>3</v>
      </c>
      <c r="V485" s="1">
        <v>2697</v>
      </c>
    </row>
    <row r="486" spans="1:22" x14ac:dyDescent="0.15">
      <c r="A486" s="2" t="str">
        <f t="shared" si="581"/>
        <v>CMVV</v>
      </c>
      <c r="B486" s="2" t="str">
        <f t="shared" si="582"/>
        <v>华南支社</v>
      </c>
      <c r="C486" s="2" t="str">
        <f t="shared" si="583"/>
        <v>PR 广州广百百货北京路店 特卖场(CMVV)</v>
      </c>
      <c r="D486" s="2" t="str">
        <f t="shared" si="542"/>
        <v>2026</v>
      </c>
      <c r="E486" s="2" t="str">
        <f t="shared" si="543"/>
        <v>夏</v>
      </c>
      <c r="F486" s="2" t="str">
        <f t="shared" si="544"/>
        <v>一般毛衣(SWEATER)(KW)</v>
      </c>
      <c r="H486" s="2" t="str">
        <f t="shared" si="545"/>
        <v>PRKWG2303M</v>
      </c>
      <c r="I486" s="2" t="str">
        <f t="shared" si="584"/>
        <v>(99)MIX99</v>
      </c>
      <c r="J486" s="2" t="str">
        <f t="shared" si="580"/>
        <v>165</v>
      </c>
      <c r="K486" s="2" t="str">
        <f>"PRKWG2303M99165"</f>
        <v>PRKWG2303M99165</v>
      </c>
      <c r="L486" s="2" t="str">
        <f t="shared" si="546"/>
        <v>899</v>
      </c>
      <c r="M486" s="1">
        <v>3</v>
      </c>
      <c r="N486" s="1">
        <v>2697</v>
      </c>
      <c r="O486" s="1">
        <v>3</v>
      </c>
      <c r="P486" s="1">
        <v>2697</v>
      </c>
      <c r="Q486" s="1">
        <v>0</v>
      </c>
      <c r="R486" s="1">
        <v>0</v>
      </c>
      <c r="S486" s="1">
        <v>0</v>
      </c>
      <c r="T486" s="1">
        <v>0</v>
      </c>
      <c r="U486" s="1">
        <v>3</v>
      </c>
      <c r="V486" s="1">
        <v>2697</v>
      </c>
    </row>
    <row r="487" spans="1:22" x14ac:dyDescent="0.15">
      <c r="A487" s="2" t="str">
        <f t="shared" si="581"/>
        <v>CMVV</v>
      </c>
      <c r="B487" s="2" t="str">
        <f t="shared" si="582"/>
        <v>华南支社</v>
      </c>
      <c r="C487" s="2" t="str">
        <f t="shared" si="583"/>
        <v>PR 广州广百百货北京路店 特卖场(CMVV)</v>
      </c>
      <c r="D487" s="2" t="str">
        <f t="shared" si="542"/>
        <v>2026</v>
      </c>
      <c r="E487" s="2" t="str">
        <f t="shared" si="543"/>
        <v>夏</v>
      </c>
      <c r="F487" s="2" t="str">
        <f t="shared" si="544"/>
        <v>一般毛衣(SWEATER)(KW)</v>
      </c>
      <c r="H487" s="2" t="str">
        <f t="shared" si="545"/>
        <v>PRKWG2303M</v>
      </c>
      <c r="I487" s="2" t="str">
        <f t="shared" si="584"/>
        <v>(99)MIX99</v>
      </c>
      <c r="J487" s="2" t="str">
        <f>"170"</f>
        <v>170</v>
      </c>
      <c r="K487" s="2" t="str">
        <f>"PRKWG2303M99170"</f>
        <v>PRKWG2303M99170</v>
      </c>
      <c r="L487" s="2" t="str">
        <f t="shared" si="546"/>
        <v>899</v>
      </c>
      <c r="M487" s="1">
        <v>3</v>
      </c>
      <c r="N487" s="1">
        <v>2697</v>
      </c>
      <c r="O487" s="1">
        <v>3</v>
      </c>
      <c r="P487" s="1">
        <v>2697</v>
      </c>
      <c r="Q487" s="1">
        <v>0</v>
      </c>
      <c r="R487" s="1">
        <v>0</v>
      </c>
      <c r="S487" s="1">
        <v>0</v>
      </c>
      <c r="T487" s="1">
        <v>0</v>
      </c>
      <c r="U487" s="1">
        <v>3</v>
      </c>
      <c r="V487" s="1">
        <v>2697</v>
      </c>
    </row>
    <row r="488" spans="1:22" x14ac:dyDescent="0.15">
      <c r="A488" s="2" t="str">
        <f t="shared" ref="A488:A490" si="585">"CMZW"</f>
        <v>CMZW</v>
      </c>
      <c r="B488" s="2" t="str">
        <f t="shared" si="582"/>
        <v>华南支社</v>
      </c>
      <c r="C488" s="2" t="str">
        <f t="shared" ref="C488:C490" si="586">"PR 南宁华星城市奥特莱斯 (NEW)(CMZW)"</f>
        <v>PR 南宁华星城市奥特莱斯 (NEW)(CMZW)</v>
      </c>
      <c r="D488" s="2" t="str">
        <f t="shared" si="542"/>
        <v>2026</v>
      </c>
      <c r="E488" s="2" t="str">
        <f t="shared" si="543"/>
        <v>夏</v>
      </c>
      <c r="F488" s="2" t="str">
        <f t="shared" si="544"/>
        <v>一般毛衣(SWEATER)(KW)</v>
      </c>
      <c r="H488" s="2" t="str">
        <f t="shared" si="545"/>
        <v>PRKWG2303M</v>
      </c>
      <c r="I488" s="2" t="str">
        <f t="shared" si="584"/>
        <v>(99)MIX99</v>
      </c>
      <c r="J488" s="2" t="str">
        <f>"160"</f>
        <v>160</v>
      </c>
      <c r="K488" s="2" t="str">
        <f>"PRKWG2303M99160"</f>
        <v>PRKWG2303M99160</v>
      </c>
      <c r="L488" s="2" t="str">
        <f t="shared" si="546"/>
        <v>899</v>
      </c>
      <c r="M488" s="1">
        <v>4</v>
      </c>
      <c r="N488" s="1">
        <v>3596</v>
      </c>
      <c r="O488" s="1">
        <v>4</v>
      </c>
      <c r="P488" s="1">
        <v>3596</v>
      </c>
      <c r="Q488" s="1">
        <v>0</v>
      </c>
      <c r="R488" s="1">
        <v>0</v>
      </c>
      <c r="S488" s="1">
        <v>0</v>
      </c>
      <c r="T488" s="1">
        <v>0</v>
      </c>
      <c r="U488" s="1">
        <v>4</v>
      </c>
      <c r="V488" s="1">
        <v>3596</v>
      </c>
    </row>
    <row r="489" spans="1:22" x14ac:dyDescent="0.15">
      <c r="A489" s="2" t="str">
        <f t="shared" si="585"/>
        <v>CMZW</v>
      </c>
      <c r="B489" s="2" t="str">
        <f t="shared" si="582"/>
        <v>华南支社</v>
      </c>
      <c r="C489" s="2" t="str">
        <f t="shared" si="586"/>
        <v>PR 南宁华星城市奥特莱斯 (NEW)(CMZW)</v>
      </c>
      <c r="D489" s="2" t="str">
        <f t="shared" si="542"/>
        <v>2026</v>
      </c>
      <c r="E489" s="2" t="str">
        <f t="shared" si="543"/>
        <v>夏</v>
      </c>
      <c r="F489" s="2" t="str">
        <f t="shared" si="544"/>
        <v>一般毛衣(SWEATER)(KW)</v>
      </c>
      <c r="H489" s="2" t="str">
        <f t="shared" si="545"/>
        <v>PRKWG2303M</v>
      </c>
      <c r="I489" s="2" t="str">
        <f t="shared" si="584"/>
        <v>(99)MIX99</v>
      </c>
      <c r="J489" s="2" t="str">
        <f>"165"</f>
        <v>165</v>
      </c>
      <c r="K489" s="2" t="str">
        <f>"PRKWG2303M99165"</f>
        <v>PRKWG2303M99165</v>
      </c>
      <c r="L489" s="2" t="str">
        <f t="shared" si="546"/>
        <v>899</v>
      </c>
      <c r="M489" s="1">
        <v>2</v>
      </c>
      <c r="N489" s="1">
        <v>1798</v>
      </c>
      <c r="O489" s="1">
        <v>2</v>
      </c>
      <c r="P489" s="1">
        <v>1798</v>
      </c>
      <c r="Q489" s="1">
        <v>0</v>
      </c>
      <c r="R489" s="1">
        <v>0</v>
      </c>
      <c r="S489" s="1">
        <v>0</v>
      </c>
      <c r="T489" s="1">
        <v>0</v>
      </c>
      <c r="U489" s="1">
        <v>2</v>
      </c>
      <c r="V489" s="1">
        <v>1798</v>
      </c>
    </row>
    <row r="490" spans="1:22" x14ac:dyDescent="0.15">
      <c r="A490" s="2" t="str">
        <f t="shared" si="585"/>
        <v>CMZW</v>
      </c>
      <c r="B490" s="2" t="str">
        <f t="shared" si="582"/>
        <v>华南支社</v>
      </c>
      <c r="C490" s="2" t="str">
        <f t="shared" si="586"/>
        <v>PR 南宁华星城市奥特莱斯 (NEW)(CMZW)</v>
      </c>
      <c r="D490" s="2" t="str">
        <f t="shared" si="542"/>
        <v>2026</v>
      </c>
      <c r="E490" s="2" t="str">
        <f t="shared" si="543"/>
        <v>夏</v>
      </c>
      <c r="F490" s="2" t="str">
        <f t="shared" si="544"/>
        <v>一般毛衣(SWEATER)(KW)</v>
      </c>
      <c r="H490" s="2" t="str">
        <f t="shared" si="545"/>
        <v>PRKWG2303M</v>
      </c>
      <c r="I490" s="2" t="str">
        <f t="shared" si="584"/>
        <v>(99)MIX99</v>
      </c>
      <c r="J490" s="2" t="str">
        <f>"170"</f>
        <v>170</v>
      </c>
      <c r="K490" s="2" t="str">
        <f>"PRKWG2303M99170"</f>
        <v>PRKWG2303M99170</v>
      </c>
      <c r="L490" s="2" t="str">
        <f t="shared" si="546"/>
        <v>899</v>
      </c>
      <c r="M490" s="1">
        <v>2</v>
      </c>
      <c r="N490" s="1">
        <v>1798</v>
      </c>
      <c r="O490" s="1">
        <v>2</v>
      </c>
      <c r="P490" s="1">
        <v>1798</v>
      </c>
      <c r="Q490" s="1">
        <v>0</v>
      </c>
      <c r="R490" s="1">
        <v>0</v>
      </c>
      <c r="S490" s="1">
        <v>0</v>
      </c>
      <c r="T490" s="1">
        <v>0</v>
      </c>
      <c r="U490" s="1">
        <v>2</v>
      </c>
      <c r="V490" s="1">
        <v>1798</v>
      </c>
    </row>
    <row r="491" spans="1:22" x14ac:dyDescent="0.15">
      <c r="A491" s="2" t="str">
        <f t="shared" ref="A491:A493" si="587">"CN07"</f>
        <v>CN07</v>
      </c>
      <c r="B491" s="2" t="str">
        <f t="shared" ref="B491:B493" si="588">"华中支社"</f>
        <v>华中支社</v>
      </c>
      <c r="C491" s="2" t="str">
        <f t="shared" ref="C491:C493" si="589">"PR 长沙王府井 (特卖场)(CN07)"</f>
        <v>PR 长沙王府井 (特卖场)(CN07)</v>
      </c>
      <c r="D491" s="2" t="str">
        <f t="shared" si="542"/>
        <v>2026</v>
      </c>
      <c r="E491" s="2" t="str">
        <f t="shared" si="543"/>
        <v>夏</v>
      </c>
      <c r="F491" s="2" t="str">
        <f t="shared" si="544"/>
        <v>一般毛衣(SWEATER)(KW)</v>
      </c>
      <c r="H491" s="2" t="str">
        <f t="shared" si="545"/>
        <v>PRKWG2303M</v>
      </c>
      <c r="I491" s="2" t="str">
        <f t="shared" si="584"/>
        <v>(99)MIX99</v>
      </c>
      <c r="J491" s="2" t="str">
        <f>"160"</f>
        <v>160</v>
      </c>
      <c r="K491" s="2" t="str">
        <f>"PRKWG2303M99160"</f>
        <v>PRKWG2303M99160</v>
      </c>
      <c r="L491" s="2" t="str">
        <f t="shared" si="546"/>
        <v>899</v>
      </c>
      <c r="M491" s="1">
        <v>2</v>
      </c>
      <c r="N491" s="1">
        <v>1798</v>
      </c>
      <c r="O491" s="1">
        <v>2</v>
      </c>
      <c r="P491" s="1">
        <v>1798</v>
      </c>
      <c r="Q491" s="1">
        <v>0</v>
      </c>
      <c r="R491" s="1">
        <v>0</v>
      </c>
      <c r="S491" s="1">
        <v>0</v>
      </c>
      <c r="T491" s="1">
        <v>0</v>
      </c>
      <c r="U491" s="1">
        <v>2</v>
      </c>
      <c r="V491" s="1">
        <v>1798</v>
      </c>
    </row>
    <row r="492" spans="1:22" x14ac:dyDescent="0.15">
      <c r="A492" s="2" t="str">
        <f t="shared" si="587"/>
        <v>CN07</v>
      </c>
      <c r="B492" s="2" t="str">
        <f t="shared" si="588"/>
        <v>华中支社</v>
      </c>
      <c r="C492" s="2" t="str">
        <f t="shared" si="589"/>
        <v>PR 长沙王府井 (特卖场)(CN07)</v>
      </c>
      <c r="D492" s="2" t="str">
        <f t="shared" si="542"/>
        <v>2026</v>
      </c>
      <c r="E492" s="2" t="str">
        <f t="shared" si="543"/>
        <v>夏</v>
      </c>
      <c r="F492" s="2" t="str">
        <f t="shared" si="544"/>
        <v>一般毛衣(SWEATER)(KW)</v>
      </c>
      <c r="H492" s="2" t="str">
        <f t="shared" si="545"/>
        <v>PRKWG2303M</v>
      </c>
      <c r="I492" s="2" t="str">
        <f t="shared" si="584"/>
        <v>(99)MIX99</v>
      </c>
      <c r="J492" s="2" t="str">
        <f>"165"</f>
        <v>165</v>
      </c>
      <c r="K492" s="2" t="str">
        <f>"PRKWG2303M99165"</f>
        <v>PRKWG2303M99165</v>
      </c>
      <c r="L492" s="2" t="str">
        <f t="shared" si="546"/>
        <v>899</v>
      </c>
      <c r="M492" s="1">
        <v>2</v>
      </c>
      <c r="N492" s="1">
        <v>1798</v>
      </c>
      <c r="O492" s="1">
        <v>2</v>
      </c>
      <c r="P492" s="1">
        <v>1798</v>
      </c>
      <c r="Q492" s="1">
        <v>0</v>
      </c>
      <c r="R492" s="1">
        <v>0</v>
      </c>
      <c r="S492" s="1">
        <v>0</v>
      </c>
      <c r="T492" s="1">
        <v>0</v>
      </c>
      <c r="U492" s="1">
        <v>2</v>
      </c>
      <c r="V492" s="1">
        <v>1798</v>
      </c>
    </row>
    <row r="493" spans="1:22" x14ac:dyDescent="0.15">
      <c r="A493" s="2" t="str">
        <f t="shared" si="587"/>
        <v>CN07</v>
      </c>
      <c r="B493" s="2" t="str">
        <f t="shared" si="588"/>
        <v>华中支社</v>
      </c>
      <c r="C493" s="2" t="str">
        <f t="shared" si="589"/>
        <v>PR 长沙王府井 (特卖场)(CN07)</v>
      </c>
      <c r="D493" s="2" t="str">
        <f t="shared" si="542"/>
        <v>2026</v>
      </c>
      <c r="E493" s="2" t="str">
        <f t="shared" si="543"/>
        <v>夏</v>
      </c>
      <c r="F493" s="2" t="str">
        <f t="shared" si="544"/>
        <v>一般毛衣(SWEATER)(KW)</v>
      </c>
      <c r="H493" s="2" t="str">
        <f t="shared" si="545"/>
        <v>PRKWG2303M</v>
      </c>
      <c r="I493" s="2" t="str">
        <f t="shared" si="584"/>
        <v>(99)MIX99</v>
      </c>
      <c r="J493" s="2" t="str">
        <f>"170"</f>
        <v>170</v>
      </c>
      <c r="K493" s="2" t="str">
        <f>"PRKWG2303M99170"</f>
        <v>PRKWG2303M99170</v>
      </c>
      <c r="L493" s="2" t="str">
        <f t="shared" si="546"/>
        <v>899</v>
      </c>
      <c r="M493" s="1">
        <v>2</v>
      </c>
      <c r="N493" s="1">
        <v>1798</v>
      </c>
      <c r="O493" s="1">
        <v>2</v>
      </c>
      <c r="P493" s="1">
        <v>1798</v>
      </c>
      <c r="Q493" s="1">
        <v>0</v>
      </c>
      <c r="R493" s="1">
        <v>0</v>
      </c>
      <c r="S493" s="1">
        <v>0</v>
      </c>
      <c r="T493" s="1">
        <v>0</v>
      </c>
      <c r="U493" s="1">
        <v>2</v>
      </c>
      <c r="V493" s="1">
        <v>1798</v>
      </c>
    </row>
    <row r="494" spans="1:22" x14ac:dyDescent="0.15">
      <c r="A494" s="2" t="str">
        <f t="shared" ref="A494:A496" si="590">"CN0C"</f>
        <v>CN0C</v>
      </c>
      <c r="B494" s="2" t="str">
        <f t="shared" ref="B494:B496" si="591">"华南支社"</f>
        <v>华南支社</v>
      </c>
      <c r="C494" s="2" t="str">
        <f t="shared" ref="C494:C496" si="592">"PR 广州友谊商店 特卖场(CN0C)"</f>
        <v>PR 广州友谊商店 特卖场(CN0C)</v>
      </c>
      <c r="D494" s="2" t="str">
        <f t="shared" si="542"/>
        <v>2026</v>
      </c>
      <c r="E494" s="2" t="str">
        <f t="shared" si="543"/>
        <v>夏</v>
      </c>
      <c r="F494" s="2" t="str">
        <f t="shared" si="544"/>
        <v>一般毛衣(SWEATER)(KW)</v>
      </c>
      <c r="H494" s="2" t="str">
        <f t="shared" si="545"/>
        <v>PRKWG2303M</v>
      </c>
      <c r="I494" s="2" t="str">
        <f t="shared" si="584"/>
        <v>(99)MIX99</v>
      </c>
      <c r="J494" s="2" t="str">
        <f t="shared" ref="J494:J498" si="593">"160"</f>
        <v>160</v>
      </c>
      <c r="K494" s="2" t="str">
        <f t="shared" ref="K494:K498" si="594">"PRKWG2303M99160"</f>
        <v>PRKWG2303M99160</v>
      </c>
      <c r="L494" s="2" t="str">
        <f t="shared" si="546"/>
        <v>899</v>
      </c>
      <c r="M494" s="1">
        <v>2</v>
      </c>
      <c r="N494" s="1">
        <v>1798</v>
      </c>
      <c r="O494" s="1">
        <v>2</v>
      </c>
      <c r="P494" s="1">
        <v>1798</v>
      </c>
      <c r="Q494" s="1">
        <v>0</v>
      </c>
      <c r="R494" s="1">
        <v>0</v>
      </c>
      <c r="S494" s="1">
        <v>0</v>
      </c>
      <c r="T494" s="1">
        <v>0</v>
      </c>
      <c r="U494" s="1">
        <v>2</v>
      </c>
      <c r="V494" s="1">
        <v>1798</v>
      </c>
    </row>
    <row r="495" spans="1:22" x14ac:dyDescent="0.15">
      <c r="A495" s="2" t="str">
        <f t="shared" si="590"/>
        <v>CN0C</v>
      </c>
      <c r="B495" s="2" t="str">
        <f t="shared" si="591"/>
        <v>华南支社</v>
      </c>
      <c r="C495" s="2" t="str">
        <f t="shared" si="592"/>
        <v>PR 广州友谊商店 特卖场(CN0C)</v>
      </c>
      <c r="D495" s="2" t="str">
        <f t="shared" si="542"/>
        <v>2026</v>
      </c>
      <c r="E495" s="2" t="str">
        <f t="shared" si="543"/>
        <v>夏</v>
      </c>
      <c r="F495" s="2" t="str">
        <f t="shared" si="544"/>
        <v>一般毛衣(SWEATER)(KW)</v>
      </c>
      <c r="H495" s="2" t="str">
        <f t="shared" si="545"/>
        <v>PRKWG2303M</v>
      </c>
      <c r="I495" s="2" t="str">
        <f t="shared" si="584"/>
        <v>(99)MIX99</v>
      </c>
      <c r="J495" s="2" t="str">
        <f>"165"</f>
        <v>165</v>
      </c>
      <c r="K495" s="2" t="str">
        <f>"PRKWG2303M99165"</f>
        <v>PRKWG2303M99165</v>
      </c>
      <c r="L495" s="2" t="str">
        <f t="shared" si="546"/>
        <v>899</v>
      </c>
      <c r="M495" s="1">
        <v>2</v>
      </c>
      <c r="N495" s="1">
        <v>1798</v>
      </c>
      <c r="O495" s="1">
        <v>2</v>
      </c>
      <c r="P495" s="1">
        <v>1798</v>
      </c>
      <c r="Q495" s="1">
        <v>0</v>
      </c>
      <c r="R495" s="1">
        <v>0</v>
      </c>
      <c r="S495" s="1">
        <v>0</v>
      </c>
      <c r="T495" s="1">
        <v>0</v>
      </c>
      <c r="U495" s="1">
        <v>2</v>
      </c>
      <c r="V495" s="1">
        <v>1798</v>
      </c>
    </row>
    <row r="496" spans="1:22" x14ac:dyDescent="0.15">
      <c r="A496" s="2" t="str">
        <f t="shared" si="590"/>
        <v>CN0C</v>
      </c>
      <c r="B496" s="2" t="str">
        <f t="shared" si="591"/>
        <v>华南支社</v>
      </c>
      <c r="C496" s="2" t="str">
        <f t="shared" si="592"/>
        <v>PR 广州友谊商店 特卖场(CN0C)</v>
      </c>
      <c r="D496" s="2" t="str">
        <f t="shared" si="542"/>
        <v>2026</v>
      </c>
      <c r="E496" s="2" t="str">
        <f t="shared" si="543"/>
        <v>夏</v>
      </c>
      <c r="F496" s="2" t="str">
        <f t="shared" si="544"/>
        <v>一般毛衣(SWEATER)(KW)</v>
      </c>
      <c r="H496" s="2" t="str">
        <f t="shared" si="545"/>
        <v>PRKWG2303M</v>
      </c>
      <c r="I496" s="2" t="str">
        <f t="shared" si="584"/>
        <v>(99)MIX99</v>
      </c>
      <c r="J496" s="2" t="str">
        <f>"170"</f>
        <v>170</v>
      </c>
      <c r="K496" s="2" t="str">
        <f>"PRKWG2303M99170"</f>
        <v>PRKWG2303M99170</v>
      </c>
      <c r="L496" s="2" t="str">
        <f t="shared" si="546"/>
        <v>899</v>
      </c>
      <c r="M496" s="1">
        <v>1</v>
      </c>
      <c r="N496" s="1">
        <v>899</v>
      </c>
      <c r="O496" s="1">
        <v>1</v>
      </c>
      <c r="P496" s="1">
        <v>899</v>
      </c>
      <c r="Q496" s="1">
        <v>0</v>
      </c>
      <c r="R496" s="1">
        <v>0</v>
      </c>
      <c r="S496" s="1">
        <v>0</v>
      </c>
      <c r="T496" s="1">
        <v>0</v>
      </c>
      <c r="U496" s="1">
        <v>1</v>
      </c>
      <c r="V496" s="1">
        <v>899</v>
      </c>
    </row>
    <row r="497" spans="1:22" x14ac:dyDescent="0.15">
      <c r="A497" s="2" t="str">
        <f>"CN10"</f>
        <v>CN10</v>
      </c>
      <c r="B497" s="2" t="str">
        <f>"川西支社"</f>
        <v>川西支社</v>
      </c>
      <c r="C497" s="2" t="str">
        <f>"PR 成都优客城市奥莱（特卖）(CN10)"</f>
        <v>PR 成都优客城市奥莱（特卖）(CN10)</v>
      </c>
      <c r="D497" s="2" t="str">
        <f t="shared" si="542"/>
        <v>2026</v>
      </c>
      <c r="E497" s="2" t="str">
        <f t="shared" si="543"/>
        <v>夏</v>
      </c>
      <c r="F497" s="2" t="str">
        <f t="shared" si="544"/>
        <v>一般毛衣(SWEATER)(KW)</v>
      </c>
      <c r="H497" s="2" t="str">
        <f t="shared" si="545"/>
        <v>PRKWG2303M</v>
      </c>
      <c r="I497" s="2" t="str">
        <f t="shared" si="584"/>
        <v>(99)MIX99</v>
      </c>
      <c r="J497" s="2" t="str">
        <f t="shared" si="593"/>
        <v>160</v>
      </c>
      <c r="K497" s="2" t="str">
        <f t="shared" si="594"/>
        <v>PRKWG2303M99160</v>
      </c>
      <c r="L497" s="2" t="str">
        <f t="shared" si="546"/>
        <v>899</v>
      </c>
      <c r="M497" s="1">
        <v>0</v>
      </c>
      <c r="N497" s="1">
        <v>0</v>
      </c>
      <c r="O497" s="1">
        <v>0</v>
      </c>
      <c r="P497" s="1">
        <v>0</v>
      </c>
      <c r="Q497" s="1">
        <v>0</v>
      </c>
      <c r="R497" s="1">
        <v>0</v>
      </c>
      <c r="S497" s="1">
        <v>1</v>
      </c>
      <c r="T497" s="1">
        <v>899</v>
      </c>
      <c r="U497" s="1">
        <v>1</v>
      </c>
      <c r="V497" s="1">
        <v>899</v>
      </c>
    </row>
    <row r="498" spans="1:22" x14ac:dyDescent="0.15">
      <c r="A498" s="2" t="str">
        <f t="shared" ref="A498:A500" si="595">"CN11"</f>
        <v>CN11</v>
      </c>
      <c r="B498" s="2" t="str">
        <f t="shared" ref="B498:B500" si="596">"华北支社"</f>
        <v>华北支社</v>
      </c>
      <c r="C498" s="2" t="str">
        <f t="shared" ref="C498:C500" si="597">"PR 石家庄北国商城 （特卖）(CN11)"</f>
        <v>PR 石家庄北国商城 （特卖）(CN11)</v>
      </c>
      <c r="D498" s="2" t="str">
        <f t="shared" si="542"/>
        <v>2026</v>
      </c>
      <c r="E498" s="2" t="str">
        <f t="shared" si="543"/>
        <v>夏</v>
      </c>
      <c r="F498" s="2" t="str">
        <f t="shared" si="544"/>
        <v>一般毛衣(SWEATER)(KW)</v>
      </c>
      <c r="H498" s="2" t="str">
        <f t="shared" si="545"/>
        <v>PRKWG2303M</v>
      </c>
      <c r="I498" s="2" t="str">
        <f t="shared" si="584"/>
        <v>(99)MIX99</v>
      </c>
      <c r="J498" s="2" t="str">
        <f t="shared" si="593"/>
        <v>160</v>
      </c>
      <c r="K498" s="2" t="str">
        <f t="shared" si="594"/>
        <v>PRKWG2303M99160</v>
      </c>
      <c r="L498" s="2" t="str">
        <f t="shared" si="546"/>
        <v>899</v>
      </c>
      <c r="M498" s="1">
        <v>2</v>
      </c>
      <c r="N498" s="1">
        <v>1798</v>
      </c>
      <c r="O498" s="1">
        <v>2</v>
      </c>
      <c r="P498" s="1">
        <v>1798</v>
      </c>
      <c r="Q498" s="1">
        <v>0</v>
      </c>
      <c r="R498" s="1">
        <v>0</v>
      </c>
      <c r="S498" s="1">
        <v>0</v>
      </c>
      <c r="T498" s="1">
        <v>0</v>
      </c>
      <c r="U498" s="1">
        <v>2</v>
      </c>
      <c r="V498" s="1">
        <v>1798</v>
      </c>
    </row>
    <row r="499" spans="1:22" x14ac:dyDescent="0.15">
      <c r="A499" s="2" t="str">
        <f t="shared" si="595"/>
        <v>CN11</v>
      </c>
      <c r="B499" s="2" t="str">
        <f t="shared" si="596"/>
        <v>华北支社</v>
      </c>
      <c r="C499" s="2" t="str">
        <f t="shared" si="597"/>
        <v>PR 石家庄北国商城 （特卖）(CN11)</v>
      </c>
      <c r="D499" s="2" t="str">
        <f t="shared" si="542"/>
        <v>2026</v>
      </c>
      <c r="E499" s="2" t="str">
        <f t="shared" si="543"/>
        <v>夏</v>
      </c>
      <c r="F499" s="2" t="str">
        <f t="shared" si="544"/>
        <v>一般毛衣(SWEATER)(KW)</v>
      </c>
      <c r="H499" s="2" t="str">
        <f t="shared" si="545"/>
        <v>PRKWG2303M</v>
      </c>
      <c r="I499" s="2" t="str">
        <f t="shared" si="584"/>
        <v>(99)MIX99</v>
      </c>
      <c r="J499" s="2" t="str">
        <f t="shared" ref="J499:J504" si="598">"165"</f>
        <v>165</v>
      </c>
      <c r="K499" s="2" t="str">
        <f t="shared" ref="K499:K504" si="599">"PRKWG2303M99165"</f>
        <v>PRKWG2303M99165</v>
      </c>
      <c r="L499" s="2" t="str">
        <f t="shared" si="546"/>
        <v>899</v>
      </c>
      <c r="M499" s="1">
        <v>2</v>
      </c>
      <c r="N499" s="1">
        <v>1798</v>
      </c>
      <c r="O499" s="1">
        <v>2</v>
      </c>
      <c r="P499" s="1">
        <v>1798</v>
      </c>
      <c r="Q499" s="1">
        <v>0</v>
      </c>
      <c r="R499" s="1">
        <v>0</v>
      </c>
      <c r="S499" s="1">
        <v>0</v>
      </c>
      <c r="T499" s="1">
        <v>0</v>
      </c>
      <c r="U499" s="1">
        <v>2</v>
      </c>
      <c r="V499" s="1">
        <v>1798</v>
      </c>
    </row>
    <row r="500" spans="1:22" x14ac:dyDescent="0.15">
      <c r="A500" s="2" t="str">
        <f t="shared" si="595"/>
        <v>CN11</v>
      </c>
      <c r="B500" s="2" t="str">
        <f t="shared" si="596"/>
        <v>华北支社</v>
      </c>
      <c r="C500" s="2" t="str">
        <f t="shared" si="597"/>
        <v>PR 石家庄北国商城 （特卖）(CN11)</v>
      </c>
      <c r="D500" s="2" t="str">
        <f t="shared" si="542"/>
        <v>2026</v>
      </c>
      <c r="E500" s="2" t="str">
        <f t="shared" si="543"/>
        <v>夏</v>
      </c>
      <c r="F500" s="2" t="str">
        <f t="shared" si="544"/>
        <v>一般毛衣(SWEATER)(KW)</v>
      </c>
      <c r="H500" s="2" t="str">
        <f t="shared" si="545"/>
        <v>PRKWG2303M</v>
      </c>
      <c r="I500" s="2" t="str">
        <f t="shared" si="584"/>
        <v>(99)MIX99</v>
      </c>
      <c r="J500" s="2" t="str">
        <f>"170"</f>
        <v>170</v>
      </c>
      <c r="K500" s="2" t="str">
        <f>"PRKWG2303M99170"</f>
        <v>PRKWG2303M99170</v>
      </c>
      <c r="L500" s="2" t="str">
        <f t="shared" si="546"/>
        <v>899</v>
      </c>
      <c r="M500" s="1">
        <v>1</v>
      </c>
      <c r="N500" s="1">
        <v>899</v>
      </c>
      <c r="O500" s="1">
        <v>1</v>
      </c>
      <c r="P500" s="1">
        <v>899</v>
      </c>
      <c r="Q500" s="1">
        <v>0</v>
      </c>
      <c r="R500" s="1">
        <v>0</v>
      </c>
      <c r="S500" s="1">
        <v>0</v>
      </c>
      <c r="T500" s="1">
        <v>0</v>
      </c>
      <c r="U500" s="1">
        <v>1</v>
      </c>
      <c r="V500" s="1">
        <v>899</v>
      </c>
    </row>
    <row r="501" spans="1:22" x14ac:dyDescent="0.15">
      <c r="A501" s="2" t="str">
        <f>"CN1B"</f>
        <v>CN1B</v>
      </c>
      <c r="B501" s="2" t="str">
        <f>"河南支社"</f>
        <v>河南支社</v>
      </c>
      <c r="C501" s="2" t="str">
        <f>"PR平顶山双丰(CN1B)"</f>
        <v>PR平顶山双丰(CN1B)</v>
      </c>
      <c r="D501" s="2" t="str">
        <f t="shared" si="542"/>
        <v>2026</v>
      </c>
      <c r="E501" s="2" t="str">
        <f t="shared" si="543"/>
        <v>夏</v>
      </c>
      <c r="F501" s="2" t="str">
        <f t="shared" si="544"/>
        <v>一般毛衣(SWEATER)(KW)</v>
      </c>
      <c r="H501" s="2" t="str">
        <f t="shared" si="545"/>
        <v>PRKWG2303M</v>
      </c>
      <c r="I501" s="2" t="str">
        <f t="shared" si="584"/>
        <v>(99)MIX99</v>
      </c>
      <c r="J501" s="2" t="str">
        <f t="shared" ref="J501:J506" si="600">"160"</f>
        <v>160</v>
      </c>
      <c r="K501" s="2" t="str">
        <f t="shared" ref="K501:K506" si="601">"PRKWG2303M99160"</f>
        <v>PRKWG2303M99160</v>
      </c>
      <c r="L501" s="2" t="str">
        <f t="shared" si="546"/>
        <v>899</v>
      </c>
      <c r="M501" s="1">
        <v>5</v>
      </c>
      <c r="N501" s="1">
        <v>4495</v>
      </c>
      <c r="O501" s="1">
        <v>5</v>
      </c>
      <c r="P501" s="1">
        <v>4495</v>
      </c>
      <c r="Q501" s="1">
        <v>0</v>
      </c>
      <c r="R501" s="1">
        <v>0</v>
      </c>
      <c r="S501" s="1">
        <v>0</v>
      </c>
      <c r="T501" s="1">
        <v>0</v>
      </c>
      <c r="U501" s="1">
        <v>5</v>
      </c>
      <c r="V501" s="1">
        <v>4495</v>
      </c>
    </row>
    <row r="502" spans="1:22" x14ac:dyDescent="0.15">
      <c r="A502" s="2" t="str">
        <f>"CN1B"</f>
        <v>CN1B</v>
      </c>
      <c r="B502" s="2" t="str">
        <f>"河南支社"</f>
        <v>河南支社</v>
      </c>
      <c r="C502" s="2" t="str">
        <f>"PR平顶山双丰(CN1B)"</f>
        <v>PR平顶山双丰(CN1B)</v>
      </c>
      <c r="D502" s="2" t="str">
        <f t="shared" si="542"/>
        <v>2026</v>
      </c>
      <c r="E502" s="2" t="str">
        <f t="shared" si="543"/>
        <v>夏</v>
      </c>
      <c r="F502" s="2" t="str">
        <f t="shared" si="544"/>
        <v>一般毛衣(SWEATER)(KW)</v>
      </c>
      <c r="H502" s="2" t="str">
        <f t="shared" si="545"/>
        <v>PRKWG2303M</v>
      </c>
      <c r="I502" s="2" t="str">
        <f t="shared" si="584"/>
        <v>(99)MIX99</v>
      </c>
      <c r="J502" s="2" t="str">
        <f t="shared" si="598"/>
        <v>165</v>
      </c>
      <c r="K502" s="2" t="str">
        <f t="shared" si="599"/>
        <v>PRKWG2303M99165</v>
      </c>
      <c r="L502" s="2" t="str">
        <f t="shared" si="546"/>
        <v>899</v>
      </c>
      <c r="M502" s="1">
        <v>2</v>
      </c>
      <c r="N502" s="1">
        <v>1798</v>
      </c>
      <c r="O502" s="1">
        <v>2</v>
      </c>
      <c r="P502" s="1">
        <v>1798</v>
      </c>
      <c r="Q502" s="1">
        <v>0</v>
      </c>
      <c r="R502" s="1">
        <v>0</v>
      </c>
      <c r="S502" s="1">
        <v>0</v>
      </c>
      <c r="T502" s="1">
        <v>0</v>
      </c>
      <c r="U502" s="1">
        <v>2</v>
      </c>
      <c r="V502" s="1">
        <v>1798</v>
      </c>
    </row>
    <row r="503" spans="1:22" x14ac:dyDescent="0.15">
      <c r="A503" s="2" t="str">
        <f t="shared" ref="A503:A505" si="602">"CN1E"</f>
        <v>CN1E</v>
      </c>
      <c r="B503" s="2" t="str">
        <f t="shared" ref="B503:B505" si="603">"华东支社"</f>
        <v>华东支社</v>
      </c>
      <c r="C503" s="2" t="str">
        <f t="shared" ref="C503:C505" si="604">"PR 南京仙林金鹰一期(CN1E)"</f>
        <v>PR 南京仙林金鹰一期(CN1E)</v>
      </c>
      <c r="D503" s="2" t="str">
        <f t="shared" si="542"/>
        <v>2026</v>
      </c>
      <c r="E503" s="2" t="str">
        <f t="shared" si="543"/>
        <v>夏</v>
      </c>
      <c r="F503" s="2" t="str">
        <f t="shared" si="544"/>
        <v>一般毛衣(SWEATER)(KW)</v>
      </c>
      <c r="H503" s="2" t="str">
        <f t="shared" si="545"/>
        <v>PRKWG2303M</v>
      </c>
      <c r="I503" s="2" t="str">
        <f t="shared" si="584"/>
        <v>(99)MIX99</v>
      </c>
      <c r="J503" s="2" t="str">
        <f t="shared" si="600"/>
        <v>160</v>
      </c>
      <c r="K503" s="2" t="str">
        <f t="shared" si="601"/>
        <v>PRKWG2303M99160</v>
      </c>
      <c r="L503" s="2" t="str">
        <f t="shared" si="546"/>
        <v>899</v>
      </c>
      <c r="M503" s="1">
        <v>1</v>
      </c>
      <c r="N503" s="1">
        <v>899</v>
      </c>
      <c r="O503" s="1">
        <v>1</v>
      </c>
      <c r="P503" s="1">
        <v>899</v>
      </c>
      <c r="Q503" s="1">
        <v>0</v>
      </c>
      <c r="R503" s="1">
        <v>0</v>
      </c>
      <c r="S503" s="1">
        <v>0</v>
      </c>
      <c r="T503" s="1">
        <v>0</v>
      </c>
      <c r="U503" s="1">
        <v>1</v>
      </c>
      <c r="V503" s="1">
        <v>899</v>
      </c>
    </row>
    <row r="504" spans="1:22" x14ac:dyDescent="0.15">
      <c r="A504" s="2" t="str">
        <f t="shared" si="602"/>
        <v>CN1E</v>
      </c>
      <c r="B504" s="2" t="str">
        <f t="shared" si="603"/>
        <v>华东支社</v>
      </c>
      <c r="C504" s="2" t="str">
        <f t="shared" si="604"/>
        <v>PR 南京仙林金鹰一期(CN1E)</v>
      </c>
      <c r="D504" s="2" t="str">
        <f t="shared" si="542"/>
        <v>2026</v>
      </c>
      <c r="E504" s="2" t="str">
        <f t="shared" si="543"/>
        <v>夏</v>
      </c>
      <c r="F504" s="2" t="str">
        <f t="shared" si="544"/>
        <v>一般毛衣(SWEATER)(KW)</v>
      </c>
      <c r="H504" s="2" t="str">
        <f t="shared" si="545"/>
        <v>PRKWG2303M</v>
      </c>
      <c r="I504" s="2" t="str">
        <f t="shared" si="584"/>
        <v>(99)MIX99</v>
      </c>
      <c r="J504" s="2" t="str">
        <f t="shared" si="598"/>
        <v>165</v>
      </c>
      <c r="K504" s="2" t="str">
        <f t="shared" si="599"/>
        <v>PRKWG2303M99165</v>
      </c>
      <c r="L504" s="2" t="str">
        <f t="shared" si="546"/>
        <v>899</v>
      </c>
      <c r="M504" s="1">
        <v>1</v>
      </c>
      <c r="N504" s="1">
        <v>899</v>
      </c>
      <c r="O504" s="1">
        <v>1</v>
      </c>
      <c r="P504" s="1">
        <v>899</v>
      </c>
      <c r="Q504" s="1">
        <v>0</v>
      </c>
      <c r="R504" s="1">
        <v>0</v>
      </c>
      <c r="S504" s="1">
        <v>0</v>
      </c>
      <c r="T504" s="1">
        <v>0</v>
      </c>
      <c r="U504" s="1">
        <v>1</v>
      </c>
      <c r="V504" s="1">
        <v>899</v>
      </c>
    </row>
    <row r="505" spans="1:22" x14ac:dyDescent="0.15">
      <c r="A505" s="2" t="str">
        <f t="shared" si="602"/>
        <v>CN1E</v>
      </c>
      <c r="B505" s="2" t="str">
        <f t="shared" si="603"/>
        <v>华东支社</v>
      </c>
      <c r="C505" s="2" t="str">
        <f t="shared" si="604"/>
        <v>PR 南京仙林金鹰一期(CN1E)</v>
      </c>
      <c r="D505" s="2" t="str">
        <f t="shared" si="542"/>
        <v>2026</v>
      </c>
      <c r="E505" s="2" t="str">
        <f t="shared" si="543"/>
        <v>夏</v>
      </c>
      <c r="F505" s="2" t="str">
        <f t="shared" si="544"/>
        <v>一般毛衣(SWEATER)(KW)</v>
      </c>
      <c r="H505" s="2" t="str">
        <f t="shared" si="545"/>
        <v>PRKWG2303M</v>
      </c>
      <c r="I505" s="2" t="str">
        <f t="shared" si="584"/>
        <v>(99)MIX99</v>
      </c>
      <c r="J505" s="2" t="str">
        <f>"170"</f>
        <v>170</v>
      </c>
      <c r="K505" s="2" t="str">
        <f>"PRKWG2303M99170"</f>
        <v>PRKWG2303M99170</v>
      </c>
      <c r="L505" s="2" t="str">
        <f t="shared" si="546"/>
        <v>899</v>
      </c>
      <c r="M505" s="1">
        <v>1</v>
      </c>
      <c r="N505" s="1">
        <v>899</v>
      </c>
      <c r="O505" s="1">
        <v>1</v>
      </c>
      <c r="P505" s="1">
        <v>899</v>
      </c>
      <c r="Q505" s="1">
        <v>0</v>
      </c>
      <c r="R505" s="1">
        <v>0</v>
      </c>
      <c r="S505" s="1">
        <v>0</v>
      </c>
      <c r="T505" s="1">
        <v>0</v>
      </c>
      <c r="U505" s="1">
        <v>1</v>
      </c>
      <c r="V505" s="1">
        <v>899</v>
      </c>
    </row>
    <row r="506" spans="1:22" x14ac:dyDescent="0.15">
      <c r="A506" s="2" t="str">
        <f>"CN1W"</f>
        <v>CN1W</v>
      </c>
      <c r="B506" s="2" t="str">
        <f>"川西支社"</f>
        <v>川西支社</v>
      </c>
      <c r="C506" s="2" t="str">
        <f>"PR 都江堰幸福广场百货(CN1W)"</f>
        <v>PR 都江堰幸福广场百货(CN1W)</v>
      </c>
      <c r="D506" s="2" t="str">
        <f t="shared" ref="D506:D531" si="605">"2026"</f>
        <v>2026</v>
      </c>
      <c r="E506" s="2" t="str">
        <f t="shared" ref="E506:E531" si="606">"夏"</f>
        <v>夏</v>
      </c>
      <c r="F506" s="2" t="str">
        <f t="shared" ref="F506:F531" si="607">"一般毛衣(SWEATER)(KW)"</f>
        <v>一般毛衣(SWEATER)(KW)</v>
      </c>
      <c r="H506" s="2" t="str">
        <f t="shared" ref="H506:H531" si="608">"PRKWG2303M"</f>
        <v>PRKWG2303M</v>
      </c>
      <c r="I506" s="2" t="str">
        <f t="shared" si="584"/>
        <v>(99)MIX99</v>
      </c>
      <c r="J506" s="2" t="str">
        <f t="shared" si="600"/>
        <v>160</v>
      </c>
      <c r="K506" s="2" t="str">
        <f t="shared" si="601"/>
        <v>PRKWG2303M99160</v>
      </c>
      <c r="L506" s="2" t="str">
        <f t="shared" ref="L506:L531" si="609">"899"</f>
        <v>899</v>
      </c>
      <c r="M506" s="1">
        <v>2</v>
      </c>
      <c r="N506" s="1">
        <v>1798</v>
      </c>
      <c r="O506" s="1">
        <v>2</v>
      </c>
      <c r="P506" s="1">
        <v>1798</v>
      </c>
      <c r="Q506" s="1">
        <v>0</v>
      </c>
      <c r="R506" s="1">
        <v>0</v>
      </c>
      <c r="S506" s="1">
        <v>0</v>
      </c>
      <c r="T506" s="1">
        <v>0</v>
      </c>
      <c r="U506" s="1">
        <v>2</v>
      </c>
      <c r="V506" s="1">
        <v>1798</v>
      </c>
    </row>
    <row r="507" spans="1:22" x14ac:dyDescent="0.15">
      <c r="A507" s="2" t="str">
        <f>"CN1W"</f>
        <v>CN1W</v>
      </c>
      <c r="B507" s="2" t="str">
        <f>"川西支社"</f>
        <v>川西支社</v>
      </c>
      <c r="C507" s="2" t="str">
        <f>"PR 都江堰幸福广场百货(CN1W)"</f>
        <v>PR 都江堰幸福广场百货(CN1W)</v>
      </c>
      <c r="D507" s="2" t="str">
        <f t="shared" si="605"/>
        <v>2026</v>
      </c>
      <c r="E507" s="2" t="str">
        <f t="shared" si="606"/>
        <v>夏</v>
      </c>
      <c r="F507" s="2" t="str">
        <f t="shared" si="607"/>
        <v>一般毛衣(SWEATER)(KW)</v>
      </c>
      <c r="H507" s="2" t="str">
        <f t="shared" si="608"/>
        <v>PRKWG2303M</v>
      </c>
      <c r="I507" s="2" t="str">
        <f t="shared" si="584"/>
        <v>(99)MIX99</v>
      </c>
      <c r="J507" s="2" t="str">
        <f t="shared" ref="J507:J512" si="610">"165"</f>
        <v>165</v>
      </c>
      <c r="K507" s="2" t="str">
        <f t="shared" ref="K507:K512" si="611">"PRKWG2303M99165"</f>
        <v>PRKWG2303M99165</v>
      </c>
      <c r="L507" s="2" t="str">
        <f t="shared" si="609"/>
        <v>899</v>
      </c>
      <c r="M507" s="1">
        <v>1</v>
      </c>
      <c r="N507" s="1">
        <v>899</v>
      </c>
      <c r="O507" s="1">
        <v>1</v>
      </c>
      <c r="P507" s="1">
        <v>899</v>
      </c>
      <c r="Q507" s="1">
        <v>0</v>
      </c>
      <c r="R507" s="1">
        <v>0</v>
      </c>
      <c r="S507" s="1">
        <v>0</v>
      </c>
      <c r="T507" s="1">
        <v>0</v>
      </c>
      <c r="U507" s="1">
        <v>1</v>
      </c>
      <c r="V507" s="1">
        <v>899</v>
      </c>
    </row>
    <row r="508" spans="1:22" x14ac:dyDescent="0.15">
      <c r="A508" s="2" t="str">
        <f t="shared" ref="A508:A510" si="612">"CN26"</f>
        <v>CN26</v>
      </c>
      <c r="B508" s="2" t="str">
        <f t="shared" ref="B508:B510" si="613">"东南支社"</f>
        <v>东南支社</v>
      </c>
      <c r="C508" s="2" t="str">
        <f t="shared" ref="C508:C510" si="614">"PR 福州东百 (特卖场)(CN26)"</f>
        <v>PR 福州东百 (特卖场)(CN26)</v>
      </c>
      <c r="D508" s="2" t="str">
        <f t="shared" si="605"/>
        <v>2026</v>
      </c>
      <c r="E508" s="2" t="str">
        <f t="shared" si="606"/>
        <v>夏</v>
      </c>
      <c r="F508" s="2" t="str">
        <f t="shared" si="607"/>
        <v>一般毛衣(SWEATER)(KW)</v>
      </c>
      <c r="H508" s="2" t="str">
        <f t="shared" si="608"/>
        <v>PRKWG2303M</v>
      </c>
      <c r="I508" s="2" t="str">
        <f t="shared" si="584"/>
        <v>(99)MIX99</v>
      </c>
      <c r="J508" s="2" t="str">
        <f>"160"</f>
        <v>160</v>
      </c>
      <c r="K508" s="2" t="str">
        <f>"PRKWG2303M99160"</f>
        <v>PRKWG2303M99160</v>
      </c>
      <c r="L508" s="2" t="str">
        <f t="shared" si="609"/>
        <v>899</v>
      </c>
      <c r="M508" s="1">
        <v>2</v>
      </c>
      <c r="N508" s="1">
        <v>1798</v>
      </c>
      <c r="O508" s="1">
        <v>2</v>
      </c>
      <c r="P508" s="1">
        <v>1798</v>
      </c>
      <c r="Q508" s="1">
        <v>0</v>
      </c>
      <c r="R508" s="1">
        <v>0</v>
      </c>
      <c r="S508" s="1">
        <v>0</v>
      </c>
      <c r="T508" s="1">
        <v>0</v>
      </c>
      <c r="U508" s="1">
        <v>2</v>
      </c>
      <c r="V508" s="1">
        <v>1798</v>
      </c>
    </row>
    <row r="509" spans="1:22" x14ac:dyDescent="0.15">
      <c r="A509" s="2" t="str">
        <f t="shared" si="612"/>
        <v>CN26</v>
      </c>
      <c r="B509" s="2" t="str">
        <f t="shared" si="613"/>
        <v>东南支社</v>
      </c>
      <c r="C509" s="2" t="str">
        <f t="shared" si="614"/>
        <v>PR 福州东百 (特卖场)(CN26)</v>
      </c>
      <c r="D509" s="2" t="str">
        <f t="shared" si="605"/>
        <v>2026</v>
      </c>
      <c r="E509" s="2" t="str">
        <f t="shared" si="606"/>
        <v>夏</v>
      </c>
      <c r="F509" s="2" t="str">
        <f t="shared" si="607"/>
        <v>一般毛衣(SWEATER)(KW)</v>
      </c>
      <c r="H509" s="2" t="str">
        <f t="shared" si="608"/>
        <v>PRKWG2303M</v>
      </c>
      <c r="I509" s="2" t="str">
        <f t="shared" si="584"/>
        <v>(99)MIX99</v>
      </c>
      <c r="J509" s="2" t="str">
        <f t="shared" si="610"/>
        <v>165</v>
      </c>
      <c r="K509" s="2" t="str">
        <f t="shared" si="611"/>
        <v>PRKWG2303M99165</v>
      </c>
      <c r="L509" s="2" t="str">
        <f t="shared" si="609"/>
        <v>899</v>
      </c>
      <c r="M509" s="1">
        <v>2</v>
      </c>
      <c r="N509" s="1">
        <v>1798</v>
      </c>
      <c r="O509" s="1">
        <v>2</v>
      </c>
      <c r="P509" s="1">
        <v>1798</v>
      </c>
      <c r="Q509" s="1">
        <v>0</v>
      </c>
      <c r="R509" s="1">
        <v>0</v>
      </c>
      <c r="S509" s="1">
        <v>0</v>
      </c>
      <c r="T509" s="1">
        <v>0</v>
      </c>
      <c r="U509" s="1">
        <v>2</v>
      </c>
      <c r="V509" s="1">
        <v>1798</v>
      </c>
    </row>
    <row r="510" spans="1:22" x14ac:dyDescent="0.15">
      <c r="A510" s="2" t="str">
        <f t="shared" si="612"/>
        <v>CN26</v>
      </c>
      <c r="B510" s="2" t="str">
        <f t="shared" si="613"/>
        <v>东南支社</v>
      </c>
      <c r="C510" s="2" t="str">
        <f t="shared" si="614"/>
        <v>PR 福州东百 (特卖场)(CN26)</v>
      </c>
      <c r="D510" s="2" t="str">
        <f t="shared" si="605"/>
        <v>2026</v>
      </c>
      <c r="E510" s="2" t="str">
        <f t="shared" si="606"/>
        <v>夏</v>
      </c>
      <c r="F510" s="2" t="str">
        <f t="shared" si="607"/>
        <v>一般毛衣(SWEATER)(KW)</v>
      </c>
      <c r="H510" s="2" t="str">
        <f t="shared" si="608"/>
        <v>PRKWG2303M</v>
      </c>
      <c r="I510" s="2" t="str">
        <f t="shared" si="584"/>
        <v>(99)MIX99</v>
      </c>
      <c r="J510" s="2" t="str">
        <f>"170"</f>
        <v>170</v>
      </c>
      <c r="K510" s="2" t="str">
        <f>"PRKWG2303M99170"</f>
        <v>PRKWG2303M99170</v>
      </c>
      <c r="L510" s="2" t="str">
        <f t="shared" si="609"/>
        <v>899</v>
      </c>
      <c r="M510" s="1">
        <v>2</v>
      </c>
      <c r="N510" s="1">
        <v>1798</v>
      </c>
      <c r="O510" s="1">
        <v>2</v>
      </c>
      <c r="P510" s="1">
        <v>1798</v>
      </c>
      <c r="Q510" s="1">
        <v>0</v>
      </c>
      <c r="R510" s="1">
        <v>0</v>
      </c>
      <c r="S510" s="1">
        <v>0</v>
      </c>
      <c r="T510" s="1">
        <v>0</v>
      </c>
      <c r="U510" s="1">
        <v>2</v>
      </c>
      <c r="V510" s="1">
        <v>1798</v>
      </c>
    </row>
    <row r="511" spans="1:22" x14ac:dyDescent="0.15">
      <c r="A511" s="2" t="str">
        <f t="shared" ref="A511:A513" si="615">"CN2O"</f>
        <v>CN2O</v>
      </c>
      <c r="B511" s="2" t="str">
        <f t="shared" ref="B511:B513" si="616">"重庆支社"</f>
        <v>重庆支社</v>
      </c>
      <c r="C511" s="2" t="str">
        <f t="shared" ref="C511:C513" si="617">"PR 重庆SKPL （特卖）(CN2O)"</f>
        <v>PR 重庆SKPL （特卖）(CN2O)</v>
      </c>
      <c r="D511" s="2" t="str">
        <f t="shared" si="605"/>
        <v>2026</v>
      </c>
      <c r="E511" s="2" t="str">
        <f t="shared" si="606"/>
        <v>夏</v>
      </c>
      <c r="F511" s="2" t="str">
        <f t="shared" si="607"/>
        <v>一般毛衣(SWEATER)(KW)</v>
      </c>
      <c r="H511" s="2" t="str">
        <f t="shared" si="608"/>
        <v>PRKWG2303M</v>
      </c>
      <c r="I511" s="2" t="str">
        <f t="shared" si="584"/>
        <v>(99)MIX99</v>
      </c>
      <c r="J511" s="2" t="str">
        <f>"160"</f>
        <v>160</v>
      </c>
      <c r="K511" s="2" t="str">
        <f>"PRKWG2303M99160"</f>
        <v>PRKWG2303M99160</v>
      </c>
      <c r="L511" s="2" t="str">
        <f t="shared" si="609"/>
        <v>899</v>
      </c>
      <c r="M511" s="1">
        <v>1</v>
      </c>
      <c r="N511" s="1">
        <v>899</v>
      </c>
      <c r="O511" s="1">
        <v>1</v>
      </c>
      <c r="P511" s="1">
        <v>899</v>
      </c>
      <c r="Q511" s="1">
        <v>0</v>
      </c>
      <c r="R511" s="1">
        <v>0</v>
      </c>
      <c r="S511" s="1">
        <v>0</v>
      </c>
      <c r="T511" s="1">
        <v>0</v>
      </c>
      <c r="U511" s="1">
        <v>1</v>
      </c>
      <c r="V511" s="1">
        <v>899</v>
      </c>
    </row>
    <row r="512" spans="1:22" x14ac:dyDescent="0.15">
      <c r="A512" s="2" t="str">
        <f t="shared" si="615"/>
        <v>CN2O</v>
      </c>
      <c r="B512" s="2" t="str">
        <f t="shared" si="616"/>
        <v>重庆支社</v>
      </c>
      <c r="C512" s="2" t="str">
        <f t="shared" si="617"/>
        <v>PR 重庆SKPL （特卖）(CN2O)</v>
      </c>
      <c r="D512" s="2" t="str">
        <f t="shared" si="605"/>
        <v>2026</v>
      </c>
      <c r="E512" s="2" t="str">
        <f t="shared" si="606"/>
        <v>夏</v>
      </c>
      <c r="F512" s="2" t="str">
        <f t="shared" si="607"/>
        <v>一般毛衣(SWEATER)(KW)</v>
      </c>
      <c r="H512" s="2" t="str">
        <f t="shared" si="608"/>
        <v>PRKWG2303M</v>
      </c>
      <c r="I512" s="2" t="str">
        <f t="shared" si="584"/>
        <v>(99)MIX99</v>
      </c>
      <c r="J512" s="2" t="str">
        <f t="shared" si="610"/>
        <v>165</v>
      </c>
      <c r="K512" s="2" t="str">
        <f t="shared" si="611"/>
        <v>PRKWG2303M99165</v>
      </c>
      <c r="L512" s="2" t="str">
        <f t="shared" si="609"/>
        <v>899</v>
      </c>
      <c r="M512" s="1">
        <v>1</v>
      </c>
      <c r="N512" s="1">
        <v>899</v>
      </c>
      <c r="O512" s="1">
        <v>1</v>
      </c>
      <c r="P512" s="1">
        <v>899</v>
      </c>
      <c r="Q512" s="1">
        <v>0</v>
      </c>
      <c r="R512" s="1">
        <v>0</v>
      </c>
      <c r="S512" s="1">
        <v>0</v>
      </c>
      <c r="T512" s="1">
        <v>0</v>
      </c>
      <c r="U512" s="1">
        <v>1</v>
      </c>
      <c r="V512" s="1">
        <v>899</v>
      </c>
    </row>
    <row r="513" spans="1:22" x14ac:dyDescent="0.15">
      <c r="A513" s="2" t="str">
        <f t="shared" si="615"/>
        <v>CN2O</v>
      </c>
      <c r="B513" s="2" t="str">
        <f t="shared" si="616"/>
        <v>重庆支社</v>
      </c>
      <c r="C513" s="2" t="str">
        <f t="shared" si="617"/>
        <v>PR 重庆SKPL （特卖）(CN2O)</v>
      </c>
      <c r="D513" s="2" t="str">
        <f t="shared" si="605"/>
        <v>2026</v>
      </c>
      <c r="E513" s="2" t="str">
        <f t="shared" si="606"/>
        <v>夏</v>
      </c>
      <c r="F513" s="2" t="str">
        <f t="shared" si="607"/>
        <v>一般毛衣(SWEATER)(KW)</v>
      </c>
      <c r="H513" s="2" t="str">
        <f t="shared" si="608"/>
        <v>PRKWG2303M</v>
      </c>
      <c r="I513" s="2" t="str">
        <f t="shared" si="584"/>
        <v>(99)MIX99</v>
      </c>
      <c r="J513" s="2" t="str">
        <f>"170"</f>
        <v>170</v>
      </c>
      <c r="K513" s="2" t="str">
        <f>"PRKWG2303M99170"</f>
        <v>PRKWG2303M99170</v>
      </c>
      <c r="L513" s="2" t="str">
        <f t="shared" si="609"/>
        <v>899</v>
      </c>
      <c r="M513" s="1">
        <v>1</v>
      </c>
      <c r="N513" s="1">
        <v>899</v>
      </c>
      <c r="O513" s="1">
        <v>1</v>
      </c>
      <c r="P513" s="1">
        <v>899</v>
      </c>
      <c r="Q513" s="1">
        <v>0</v>
      </c>
      <c r="R513" s="1">
        <v>0</v>
      </c>
      <c r="S513" s="1">
        <v>0</v>
      </c>
      <c r="T513" s="1">
        <v>0</v>
      </c>
      <c r="U513" s="1">
        <v>1</v>
      </c>
      <c r="V513" s="1">
        <v>899</v>
      </c>
    </row>
    <row r="514" spans="1:22" x14ac:dyDescent="0.15">
      <c r="A514" s="2" t="str">
        <f t="shared" ref="A514:A516" si="618">"CN3D"</f>
        <v>CN3D</v>
      </c>
      <c r="B514" s="2" t="str">
        <f t="shared" ref="B514:B520" si="619">"华南支社"</f>
        <v>华南支社</v>
      </c>
      <c r="C514" s="2" t="str">
        <f t="shared" ref="C514:C516" si="620">"PR 深圳宝安大仟里(CN3D)"</f>
        <v>PR 深圳宝安大仟里(CN3D)</v>
      </c>
      <c r="D514" s="2" t="str">
        <f t="shared" si="605"/>
        <v>2026</v>
      </c>
      <c r="E514" s="2" t="str">
        <f t="shared" si="606"/>
        <v>夏</v>
      </c>
      <c r="F514" s="2" t="str">
        <f t="shared" si="607"/>
        <v>一般毛衣(SWEATER)(KW)</v>
      </c>
      <c r="H514" s="2" t="str">
        <f t="shared" si="608"/>
        <v>PRKWG2303M</v>
      </c>
      <c r="I514" s="2" t="str">
        <f t="shared" ref="I514:I516" si="621">"(99)MIX99"</f>
        <v>(99)MIX99</v>
      </c>
      <c r="J514" s="2" t="str">
        <f>"160"</f>
        <v>160</v>
      </c>
      <c r="K514" s="2" t="str">
        <f>"PRKWG2303M99160"</f>
        <v>PRKWG2303M99160</v>
      </c>
      <c r="L514" s="2" t="str">
        <f t="shared" si="609"/>
        <v>899</v>
      </c>
      <c r="M514" s="1">
        <v>2</v>
      </c>
      <c r="N514" s="1">
        <v>1798</v>
      </c>
      <c r="O514" s="1">
        <v>2</v>
      </c>
      <c r="P514" s="1">
        <v>1798</v>
      </c>
      <c r="Q514" s="1">
        <v>0</v>
      </c>
      <c r="R514" s="1">
        <v>0</v>
      </c>
      <c r="S514" s="1">
        <v>0</v>
      </c>
      <c r="T514" s="1">
        <v>0</v>
      </c>
      <c r="U514" s="1">
        <v>2</v>
      </c>
      <c r="V514" s="1">
        <v>1798</v>
      </c>
    </row>
    <row r="515" spans="1:22" x14ac:dyDescent="0.15">
      <c r="A515" s="2" t="str">
        <f t="shared" si="618"/>
        <v>CN3D</v>
      </c>
      <c r="B515" s="2" t="str">
        <f t="shared" si="619"/>
        <v>华南支社</v>
      </c>
      <c r="C515" s="2" t="str">
        <f t="shared" si="620"/>
        <v>PR 深圳宝安大仟里(CN3D)</v>
      </c>
      <c r="D515" s="2" t="str">
        <f t="shared" si="605"/>
        <v>2026</v>
      </c>
      <c r="E515" s="2" t="str">
        <f t="shared" si="606"/>
        <v>夏</v>
      </c>
      <c r="F515" s="2" t="str">
        <f t="shared" si="607"/>
        <v>一般毛衣(SWEATER)(KW)</v>
      </c>
      <c r="H515" s="2" t="str">
        <f t="shared" si="608"/>
        <v>PRKWG2303M</v>
      </c>
      <c r="I515" s="2" t="str">
        <f t="shared" si="621"/>
        <v>(99)MIX99</v>
      </c>
      <c r="J515" s="2" t="str">
        <f>"165"</f>
        <v>165</v>
      </c>
      <c r="K515" s="2" t="str">
        <f>"PRKWG2303M99165"</f>
        <v>PRKWG2303M99165</v>
      </c>
      <c r="L515" s="2" t="str">
        <f t="shared" si="609"/>
        <v>899</v>
      </c>
      <c r="M515" s="1">
        <v>2</v>
      </c>
      <c r="N515" s="1">
        <v>1798</v>
      </c>
      <c r="O515" s="1">
        <v>2</v>
      </c>
      <c r="P515" s="1">
        <v>1798</v>
      </c>
      <c r="Q515" s="1">
        <v>0</v>
      </c>
      <c r="R515" s="1">
        <v>0</v>
      </c>
      <c r="S515" s="1">
        <v>0</v>
      </c>
      <c r="T515" s="1">
        <v>0</v>
      </c>
      <c r="U515" s="1">
        <v>2</v>
      </c>
      <c r="V515" s="1">
        <v>1798</v>
      </c>
    </row>
    <row r="516" spans="1:22" x14ac:dyDescent="0.15">
      <c r="A516" s="2" t="str">
        <f t="shared" si="618"/>
        <v>CN3D</v>
      </c>
      <c r="B516" s="2" t="str">
        <f t="shared" si="619"/>
        <v>华南支社</v>
      </c>
      <c r="C516" s="2" t="str">
        <f t="shared" si="620"/>
        <v>PR 深圳宝安大仟里(CN3D)</v>
      </c>
      <c r="D516" s="2" t="str">
        <f t="shared" si="605"/>
        <v>2026</v>
      </c>
      <c r="E516" s="2" t="str">
        <f t="shared" si="606"/>
        <v>夏</v>
      </c>
      <c r="F516" s="2" t="str">
        <f t="shared" si="607"/>
        <v>一般毛衣(SWEATER)(KW)</v>
      </c>
      <c r="H516" s="2" t="str">
        <f t="shared" si="608"/>
        <v>PRKWG2303M</v>
      </c>
      <c r="I516" s="2" t="str">
        <f t="shared" si="621"/>
        <v>(99)MIX99</v>
      </c>
      <c r="J516" s="2" t="str">
        <f>"170"</f>
        <v>170</v>
      </c>
      <c r="K516" s="2" t="str">
        <f>"PRKWG2303M99170"</f>
        <v>PRKWG2303M99170</v>
      </c>
      <c r="L516" s="2" t="str">
        <f t="shared" si="609"/>
        <v>899</v>
      </c>
      <c r="M516" s="1">
        <v>1</v>
      </c>
      <c r="N516" s="1">
        <v>899</v>
      </c>
      <c r="O516" s="1">
        <v>1</v>
      </c>
      <c r="P516" s="1">
        <v>899</v>
      </c>
      <c r="Q516" s="1">
        <v>0</v>
      </c>
      <c r="R516" s="1">
        <v>0</v>
      </c>
      <c r="S516" s="1">
        <v>0</v>
      </c>
      <c r="T516" s="1">
        <v>0</v>
      </c>
      <c r="U516" s="1">
        <v>1</v>
      </c>
      <c r="V516" s="1">
        <v>899</v>
      </c>
    </row>
    <row r="517" spans="1:22" x14ac:dyDescent="0.15">
      <c r="A517" s="2" t="str">
        <f t="shared" ref="A517:A520" si="622">"CN3K"</f>
        <v>CN3K</v>
      </c>
      <c r="B517" s="2" t="str">
        <f t="shared" si="619"/>
        <v>华南支社</v>
      </c>
      <c r="C517" s="2" t="str">
        <f t="shared" ref="C517:C520" si="623">"PR深圳龙华壹方城C区(CN3K)"</f>
        <v>PR深圳龙华壹方城C区(CN3K)</v>
      </c>
      <c r="D517" s="2" t="str">
        <f t="shared" si="605"/>
        <v>2026</v>
      </c>
      <c r="E517" s="2" t="str">
        <f t="shared" si="606"/>
        <v>夏</v>
      </c>
      <c r="F517" s="2" t="str">
        <f t="shared" si="607"/>
        <v>一般毛衣(SWEATER)(KW)</v>
      </c>
      <c r="H517" s="2" t="str">
        <f t="shared" si="608"/>
        <v>PRKWG2303M</v>
      </c>
      <c r="I517" s="2" t="str">
        <f t="shared" ref="I517:I528" si="624">"(99)MIX99"</f>
        <v>(99)MIX99</v>
      </c>
      <c r="J517" s="2" t="str">
        <f>"155"</f>
        <v>155</v>
      </c>
      <c r="K517" s="2" t="str">
        <f>"PRKWG2303M99155"</f>
        <v>PRKWG2303M99155</v>
      </c>
      <c r="L517" s="2" t="str">
        <f t="shared" si="609"/>
        <v>899</v>
      </c>
      <c r="M517" s="1">
        <v>1</v>
      </c>
      <c r="N517" s="1">
        <v>899</v>
      </c>
      <c r="O517" s="1">
        <v>1</v>
      </c>
      <c r="P517" s="1">
        <v>899</v>
      </c>
      <c r="Q517" s="1">
        <v>0</v>
      </c>
      <c r="R517" s="1">
        <v>0</v>
      </c>
      <c r="S517" s="1">
        <v>0</v>
      </c>
      <c r="T517" s="1">
        <v>0</v>
      </c>
      <c r="U517" s="1">
        <v>1</v>
      </c>
      <c r="V517" s="1">
        <v>899</v>
      </c>
    </row>
    <row r="518" spans="1:22" x14ac:dyDescent="0.15">
      <c r="A518" s="2" t="str">
        <f t="shared" si="622"/>
        <v>CN3K</v>
      </c>
      <c r="B518" s="2" t="str">
        <f t="shared" si="619"/>
        <v>华南支社</v>
      </c>
      <c r="C518" s="2" t="str">
        <f t="shared" si="623"/>
        <v>PR深圳龙华壹方城C区(CN3K)</v>
      </c>
      <c r="D518" s="2" t="str">
        <f t="shared" si="605"/>
        <v>2026</v>
      </c>
      <c r="E518" s="2" t="str">
        <f t="shared" si="606"/>
        <v>夏</v>
      </c>
      <c r="F518" s="2" t="str">
        <f t="shared" si="607"/>
        <v>一般毛衣(SWEATER)(KW)</v>
      </c>
      <c r="H518" s="2" t="str">
        <f t="shared" si="608"/>
        <v>PRKWG2303M</v>
      </c>
      <c r="I518" s="2" t="str">
        <f t="shared" si="624"/>
        <v>(99)MIX99</v>
      </c>
      <c r="J518" s="2" t="str">
        <f>"160"</f>
        <v>160</v>
      </c>
      <c r="K518" s="2" t="str">
        <f>"PRKWG2303M99160"</f>
        <v>PRKWG2303M99160</v>
      </c>
      <c r="L518" s="2" t="str">
        <f t="shared" si="609"/>
        <v>899</v>
      </c>
      <c r="M518" s="1">
        <v>2</v>
      </c>
      <c r="N518" s="1">
        <v>1798</v>
      </c>
      <c r="O518" s="1">
        <v>2</v>
      </c>
      <c r="P518" s="1">
        <v>1798</v>
      </c>
      <c r="Q518" s="1">
        <v>0</v>
      </c>
      <c r="R518" s="1">
        <v>0</v>
      </c>
      <c r="S518" s="1">
        <v>0</v>
      </c>
      <c r="T518" s="1">
        <v>0</v>
      </c>
      <c r="U518" s="1">
        <v>2</v>
      </c>
      <c r="V518" s="1">
        <v>1798</v>
      </c>
    </row>
    <row r="519" spans="1:22" x14ac:dyDescent="0.15">
      <c r="A519" s="2" t="str">
        <f t="shared" si="622"/>
        <v>CN3K</v>
      </c>
      <c r="B519" s="2" t="str">
        <f t="shared" si="619"/>
        <v>华南支社</v>
      </c>
      <c r="C519" s="2" t="str">
        <f t="shared" si="623"/>
        <v>PR深圳龙华壹方城C区(CN3K)</v>
      </c>
      <c r="D519" s="2" t="str">
        <f t="shared" si="605"/>
        <v>2026</v>
      </c>
      <c r="E519" s="2" t="str">
        <f t="shared" si="606"/>
        <v>夏</v>
      </c>
      <c r="F519" s="2" t="str">
        <f t="shared" si="607"/>
        <v>一般毛衣(SWEATER)(KW)</v>
      </c>
      <c r="H519" s="2" t="str">
        <f t="shared" si="608"/>
        <v>PRKWG2303M</v>
      </c>
      <c r="I519" s="2" t="str">
        <f t="shared" si="624"/>
        <v>(99)MIX99</v>
      </c>
      <c r="J519" s="2" t="str">
        <f>"165"</f>
        <v>165</v>
      </c>
      <c r="K519" s="2" t="str">
        <f>"PRKWG2303M99165"</f>
        <v>PRKWG2303M99165</v>
      </c>
      <c r="L519" s="2" t="str">
        <f t="shared" si="609"/>
        <v>899</v>
      </c>
      <c r="M519" s="1">
        <v>2</v>
      </c>
      <c r="N519" s="1">
        <v>1798</v>
      </c>
      <c r="O519" s="1">
        <v>2</v>
      </c>
      <c r="P519" s="1">
        <v>1798</v>
      </c>
      <c r="Q519" s="1">
        <v>0</v>
      </c>
      <c r="R519" s="1">
        <v>0</v>
      </c>
      <c r="S519" s="1">
        <v>0</v>
      </c>
      <c r="T519" s="1">
        <v>0</v>
      </c>
      <c r="U519" s="1">
        <v>2</v>
      </c>
      <c r="V519" s="1">
        <v>1798</v>
      </c>
    </row>
    <row r="520" spans="1:22" x14ac:dyDescent="0.15">
      <c r="A520" s="2" t="str">
        <f t="shared" si="622"/>
        <v>CN3K</v>
      </c>
      <c r="B520" s="2" t="str">
        <f t="shared" si="619"/>
        <v>华南支社</v>
      </c>
      <c r="C520" s="2" t="str">
        <f t="shared" si="623"/>
        <v>PR深圳龙华壹方城C区(CN3K)</v>
      </c>
      <c r="D520" s="2" t="str">
        <f t="shared" si="605"/>
        <v>2026</v>
      </c>
      <c r="E520" s="2" t="str">
        <f t="shared" si="606"/>
        <v>夏</v>
      </c>
      <c r="F520" s="2" t="str">
        <f t="shared" si="607"/>
        <v>一般毛衣(SWEATER)(KW)</v>
      </c>
      <c r="H520" s="2" t="str">
        <f t="shared" si="608"/>
        <v>PRKWG2303M</v>
      </c>
      <c r="I520" s="2" t="str">
        <f t="shared" si="624"/>
        <v>(99)MIX99</v>
      </c>
      <c r="J520" s="2" t="str">
        <f>"170"</f>
        <v>170</v>
      </c>
      <c r="K520" s="2" t="str">
        <f>"PRKWG2303M99170"</f>
        <v>PRKWG2303M99170</v>
      </c>
      <c r="L520" s="2" t="str">
        <f t="shared" si="609"/>
        <v>899</v>
      </c>
      <c r="M520" s="1">
        <v>1</v>
      </c>
      <c r="N520" s="1">
        <v>899</v>
      </c>
      <c r="O520" s="1">
        <v>1</v>
      </c>
      <c r="P520" s="1">
        <v>899</v>
      </c>
      <c r="Q520" s="1">
        <v>0</v>
      </c>
      <c r="R520" s="1">
        <v>0</v>
      </c>
      <c r="S520" s="1">
        <v>0</v>
      </c>
      <c r="T520" s="1">
        <v>0</v>
      </c>
      <c r="U520" s="1">
        <v>1</v>
      </c>
      <c r="V520" s="1">
        <v>899</v>
      </c>
    </row>
    <row r="521" spans="1:22" x14ac:dyDescent="0.15">
      <c r="A521" s="2" t="str">
        <f t="shared" ref="A521:A524" si="625">"CN3Z"</f>
        <v>CN3Z</v>
      </c>
      <c r="B521" s="2" t="str">
        <f t="shared" ref="B521:B524" si="626">"华东支社"</f>
        <v>华东支社</v>
      </c>
      <c r="C521" s="2" t="str">
        <f t="shared" ref="C521:C524" si="627">"PR 宿迁金鹰（宿迁市紫韵阁商贸有限公司）(CN3Z)"</f>
        <v>PR 宿迁金鹰（宿迁市紫韵阁商贸有限公司）(CN3Z)</v>
      </c>
      <c r="D521" s="2" t="str">
        <f t="shared" si="605"/>
        <v>2026</v>
      </c>
      <c r="E521" s="2" t="str">
        <f t="shared" si="606"/>
        <v>夏</v>
      </c>
      <c r="F521" s="2" t="str">
        <f t="shared" si="607"/>
        <v>一般毛衣(SWEATER)(KW)</v>
      </c>
      <c r="H521" s="2" t="str">
        <f t="shared" si="608"/>
        <v>PRKWG2303M</v>
      </c>
      <c r="I521" s="2" t="str">
        <f t="shared" si="624"/>
        <v>(99)MIX99</v>
      </c>
      <c r="J521" s="2" t="str">
        <f>"155"</f>
        <v>155</v>
      </c>
      <c r="K521" s="2" t="str">
        <f>"PRKWG2303M99155"</f>
        <v>PRKWG2303M99155</v>
      </c>
      <c r="L521" s="2" t="str">
        <f t="shared" si="609"/>
        <v>899</v>
      </c>
      <c r="M521" s="1">
        <v>1</v>
      </c>
      <c r="N521" s="1">
        <v>899</v>
      </c>
      <c r="O521" s="1">
        <v>1</v>
      </c>
      <c r="P521" s="1">
        <v>899</v>
      </c>
      <c r="Q521" s="1">
        <v>0</v>
      </c>
      <c r="R521" s="1">
        <v>0</v>
      </c>
      <c r="S521" s="1">
        <v>0</v>
      </c>
      <c r="T521" s="1">
        <v>0</v>
      </c>
      <c r="U521" s="1">
        <v>1</v>
      </c>
      <c r="V521" s="1">
        <v>899</v>
      </c>
    </row>
    <row r="522" spans="1:22" x14ac:dyDescent="0.15">
      <c r="A522" s="2" t="str">
        <f t="shared" si="625"/>
        <v>CN3Z</v>
      </c>
      <c r="B522" s="2" t="str">
        <f t="shared" si="626"/>
        <v>华东支社</v>
      </c>
      <c r="C522" s="2" t="str">
        <f t="shared" si="627"/>
        <v>PR 宿迁金鹰（宿迁市紫韵阁商贸有限公司）(CN3Z)</v>
      </c>
      <c r="D522" s="2" t="str">
        <f t="shared" si="605"/>
        <v>2026</v>
      </c>
      <c r="E522" s="2" t="str">
        <f t="shared" si="606"/>
        <v>夏</v>
      </c>
      <c r="F522" s="2" t="str">
        <f t="shared" si="607"/>
        <v>一般毛衣(SWEATER)(KW)</v>
      </c>
      <c r="H522" s="2" t="str">
        <f t="shared" si="608"/>
        <v>PRKWG2303M</v>
      </c>
      <c r="I522" s="2" t="str">
        <f t="shared" si="624"/>
        <v>(99)MIX99</v>
      </c>
      <c r="J522" s="2" t="str">
        <f>"160"</f>
        <v>160</v>
      </c>
      <c r="K522" s="2" t="str">
        <f>"PRKWG2303M99160"</f>
        <v>PRKWG2303M99160</v>
      </c>
      <c r="L522" s="2" t="str">
        <f t="shared" si="609"/>
        <v>899</v>
      </c>
      <c r="M522" s="1">
        <v>2</v>
      </c>
      <c r="N522" s="1">
        <v>1798</v>
      </c>
      <c r="O522" s="1">
        <v>2</v>
      </c>
      <c r="P522" s="1">
        <v>1798</v>
      </c>
      <c r="Q522" s="1">
        <v>0</v>
      </c>
      <c r="R522" s="1">
        <v>0</v>
      </c>
      <c r="S522" s="1">
        <v>0</v>
      </c>
      <c r="T522" s="1">
        <v>0</v>
      </c>
      <c r="U522" s="1">
        <v>2</v>
      </c>
      <c r="V522" s="1">
        <v>1798</v>
      </c>
    </row>
    <row r="523" spans="1:22" x14ac:dyDescent="0.15">
      <c r="A523" s="2" t="str">
        <f t="shared" si="625"/>
        <v>CN3Z</v>
      </c>
      <c r="B523" s="2" t="str">
        <f t="shared" si="626"/>
        <v>华东支社</v>
      </c>
      <c r="C523" s="2" t="str">
        <f t="shared" si="627"/>
        <v>PR 宿迁金鹰（宿迁市紫韵阁商贸有限公司）(CN3Z)</v>
      </c>
      <c r="D523" s="2" t="str">
        <f t="shared" si="605"/>
        <v>2026</v>
      </c>
      <c r="E523" s="2" t="str">
        <f t="shared" si="606"/>
        <v>夏</v>
      </c>
      <c r="F523" s="2" t="str">
        <f t="shared" si="607"/>
        <v>一般毛衣(SWEATER)(KW)</v>
      </c>
      <c r="H523" s="2" t="str">
        <f t="shared" si="608"/>
        <v>PRKWG2303M</v>
      </c>
      <c r="I523" s="2" t="str">
        <f t="shared" si="624"/>
        <v>(99)MIX99</v>
      </c>
      <c r="J523" s="2" t="str">
        <f>"165"</f>
        <v>165</v>
      </c>
      <c r="K523" s="2" t="str">
        <f>"PRKWG2303M99165"</f>
        <v>PRKWG2303M99165</v>
      </c>
      <c r="L523" s="2" t="str">
        <f t="shared" si="609"/>
        <v>899</v>
      </c>
      <c r="M523" s="1">
        <v>2</v>
      </c>
      <c r="N523" s="1">
        <v>1798</v>
      </c>
      <c r="O523" s="1">
        <v>2</v>
      </c>
      <c r="P523" s="1">
        <v>1798</v>
      </c>
      <c r="Q523" s="1">
        <v>0</v>
      </c>
      <c r="R523" s="1">
        <v>0</v>
      </c>
      <c r="S523" s="1">
        <v>0</v>
      </c>
      <c r="T523" s="1">
        <v>0</v>
      </c>
      <c r="U523" s="1">
        <v>2</v>
      </c>
      <c r="V523" s="1">
        <v>1798</v>
      </c>
    </row>
    <row r="524" spans="1:22" x14ac:dyDescent="0.15">
      <c r="A524" s="2" t="str">
        <f t="shared" si="625"/>
        <v>CN3Z</v>
      </c>
      <c r="B524" s="2" t="str">
        <f t="shared" si="626"/>
        <v>华东支社</v>
      </c>
      <c r="C524" s="2" t="str">
        <f t="shared" si="627"/>
        <v>PR 宿迁金鹰（宿迁市紫韵阁商贸有限公司）(CN3Z)</v>
      </c>
      <c r="D524" s="2" t="str">
        <f t="shared" si="605"/>
        <v>2026</v>
      </c>
      <c r="E524" s="2" t="str">
        <f t="shared" si="606"/>
        <v>夏</v>
      </c>
      <c r="F524" s="2" t="str">
        <f t="shared" si="607"/>
        <v>一般毛衣(SWEATER)(KW)</v>
      </c>
      <c r="H524" s="2" t="str">
        <f t="shared" si="608"/>
        <v>PRKWG2303M</v>
      </c>
      <c r="I524" s="2" t="str">
        <f t="shared" si="624"/>
        <v>(99)MIX99</v>
      </c>
      <c r="J524" s="2" t="str">
        <f>"170"</f>
        <v>170</v>
      </c>
      <c r="K524" s="2" t="str">
        <f>"PRKWG2303M99170"</f>
        <v>PRKWG2303M99170</v>
      </c>
      <c r="L524" s="2" t="str">
        <f t="shared" si="609"/>
        <v>899</v>
      </c>
      <c r="M524" s="1">
        <v>1</v>
      </c>
      <c r="N524" s="1">
        <v>899</v>
      </c>
      <c r="O524" s="1">
        <v>1</v>
      </c>
      <c r="P524" s="1">
        <v>899</v>
      </c>
      <c r="Q524" s="1">
        <v>0</v>
      </c>
      <c r="R524" s="1">
        <v>0</v>
      </c>
      <c r="S524" s="1">
        <v>0</v>
      </c>
      <c r="T524" s="1">
        <v>0</v>
      </c>
      <c r="U524" s="1">
        <v>1</v>
      </c>
      <c r="V524" s="1">
        <v>899</v>
      </c>
    </row>
    <row r="525" spans="1:22" x14ac:dyDescent="0.15">
      <c r="A525" s="2" t="str">
        <f t="shared" ref="A525:A528" si="628">"CN40"</f>
        <v>CN40</v>
      </c>
      <c r="B525" s="2" t="str">
        <f t="shared" ref="B525:B528" si="629">"浙江支社"</f>
        <v>浙江支社</v>
      </c>
      <c r="C525" s="2" t="str">
        <f t="shared" ref="C525:C528" si="630">"PR 杭州银泰百货文化广场奥莱店(CN40)"</f>
        <v>PR 杭州银泰百货文化广场奥莱店(CN40)</v>
      </c>
      <c r="D525" s="2" t="str">
        <f t="shared" si="605"/>
        <v>2026</v>
      </c>
      <c r="E525" s="2" t="str">
        <f t="shared" si="606"/>
        <v>夏</v>
      </c>
      <c r="F525" s="2" t="str">
        <f t="shared" si="607"/>
        <v>一般毛衣(SWEATER)(KW)</v>
      </c>
      <c r="H525" s="2" t="str">
        <f t="shared" si="608"/>
        <v>PRKWG2303M</v>
      </c>
      <c r="I525" s="2" t="str">
        <f t="shared" si="624"/>
        <v>(99)MIX99</v>
      </c>
      <c r="J525" s="2" t="str">
        <f>"155"</f>
        <v>155</v>
      </c>
      <c r="K525" s="2" t="str">
        <f>"PRKWG2303M99155"</f>
        <v>PRKWG2303M99155</v>
      </c>
      <c r="L525" s="2" t="str">
        <f t="shared" si="609"/>
        <v>899</v>
      </c>
      <c r="M525" s="1">
        <v>1</v>
      </c>
      <c r="N525" s="1">
        <v>899</v>
      </c>
      <c r="O525" s="1">
        <v>1</v>
      </c>
      <c r="P525" s="1">
        <v>899</v>
      </c>
      <c r="Q525" s="1">
        <v>0</v>
      </c>
      <c r="R525" s="1">
        <v>0</v>
      </c>
      <c r="S525" s="1">
        <v>0</v>
      </c>
      <c r="T525" s="1">
        <v>0</v>
      </c>
      <c r="U525" s="1">
        <v>1</v>
      </c>
      <c r="V525" s="1">
        <v>899</v>
      </c>
    </row>
    <row r="526" spans="1:22" x14ac:dyDescent="0.15">
      <c r="A526" s="2" t="str">
        <f t="shared" si="628"/>
        <v>CN40</v>
      </c>
      <c r="B526" s="2" t="str">
        <f t="shared" si="629"/>
        <v>浙江支社</v>
      </c>
      <c r="C526" s="2" t="str">
        <f t="shared" si="630"/>
        <v>PR 杭州银泰百货文化广场奥莱店(CN40)</v>
      </c>
      <c r="D526" s="2" t="str">
        <f t="shared" si="605"/>
        <v>2026</v>
      </c>
      <c r="E526" s="2" t="str">
        <f t="shared" si="606"/>
        <v>夏</v>
      </c>
      <c r="F526" s="2" t="str">
        <f t="shared" si="607"/>
        <v>一般毛衣(SWEATER)(KW)</v>
      </c>
      <c r="H526" s="2" t="str">
        <f t="shared" si="608"/>
        <v>PRKWG2303M</v>
      </c>
      <c r="I526" s="2" t="str">
        <f t="shared" si="624"/>
        <v>(99)MIX99</v>
      </c>
      <c r="J526" s="2" t="str">
        <f>"160"</f>
        <v>160</v>
      </c>
      <c r="K526" s="2" t="str">
        <f>"PRKWG2303M99160"</f>
        <v>PRKWG2303M99160</v>
      </c>
      <c r="L526" s="2" t="str">
        <f t="shared" si="609"/>
        <v>899</v>
      </c>
      <c r="M526" s="1">
        <v>2</v>
      </c>
      <c r="N526" s="1">
        <v>1798</v>
      </c>
      <c r="O526" s="1">
        <v>2</v>
      </c>
      <c r="P526" s="1">
        <v>1798</v>
      </c>
      <c r="Q526" s="1">
        <v>0</v>
      </c>
      <c r="R526" s="1">
        <v>0</v>
      </c>
      <c r="S526" s="1">
        <v>0</v>
      </c>
      <c r="T526" s="1">
        <v>0</v>
      </c>
      <c r="U526" s="1">
        <v>2</v>
      </c>
      <c r="V526" s="1">
        <v>1798</v>
      </c>
    </row>
    <row r="527" spans="1:22" x14ac:dyDescent="0.15">
      <c r="A527" s="2" t="str">
        <f t="shared" si="628"/>
        <v>CN40</v>
      </c>
      <c r="B527" s="2" t="str">
        <f t="shared" si="629"/>
        <v>浙江支社</v>
      </c>
      <c r="C527" s="2" t="str">
        <f t="shared" si="630"/>
        <v>PR 杭州银泰百货文化广场奥莱店(CN40)</v>
      </c>
      <c r="D527" s="2" t="str">
        <f t="shared" si="605"/>
        <v>2026</v>
      </c>
      <c r="E527" s="2" t="str">
        <f t="shared" si="606"/>
        <v>夏</v>
      </c>
      <c r="F527" s="2" t="str">
        <f t="shared" si="607"/>
        <v>一般毛衣(SWEATER)(KW)</v>
      </c>
      <c r="H527" s="2" t="str">
        <f t="shared" si="608"/>
        <v>PRKWG2303M</v>
      </c>
      <c r="I527" s="2" t="str">
        <f t="shared" si="624"/>
        <v>(99)MIX99</v>
      </c>
      <c r="J527" s="2" t="str">
        <f>"165"</f>
        <v>165</v>
      </c>
      <c r="K527" s="2" t="str">
        <f>"PRKWG2303M99165"</f>
        <v>PRKWG2303M99165</v>
      </c>
      <c r="L527" s="2" t="str">
        <f t="shared" si="609"/>
        <v>899</v>
      </c>
      <c r="M527" s="1">
        <v>1</v>
      </c>
      <c r="N527" s="1">
        <v>899</v>
      </c>
      <c r="O527" s="1">
        <v>1</v>
      </c>
      <c r="P527" s="1">
        <v>899</v>
      </c>
      <c r="Q527" s="1">
        <v>0</v>
      </c>
      <c r="R527" s="1">
        <v>0</v>
      </c>
      <c r="S527" s="1">
        <v>0</v>
      </c>
      <c r="T527" s="1">
        <v>0</v>
      </c>
      <c r="U527" s="1">
        <v>1</v>
      </c>
      <c r="V527" s="1">
        <v>899</v>
      </c>
    </row>
    <row r="528" spans="1:22" x14ac:dyDescent="0.15">
      <c r="A528" s="2" t="str">
        <f t="shared" si="628"/>
        <v>CN40</v>
      </c>
      <c r="B528" s="2" t="str">
        <f t="shared" si="629"/>
        <v>浙江支社</v>
      </c>
      <c r="C528" s="2" t="str">
        <f t="shared" si="630"/>
        <v>PR 杭州银泰百货文化广场奥莱店(CN40)</v>
      </c>
      <c r="D528" s="2" t="str">
        <f t="shared" si="605"/>
        <v>2026</v>
      </c>
      <c r="E528" s="2" t="str">
        <f t="shared" si="606"/>
        <v>夏</v>
      </c>
      <c r="F528" s="2" t="str">
        <f t="shared" si="607"/>
        <v>一般毛衣(SWEATER)(KW)</v>
      </c>
      <c r="H528" s="2" t="str">
        <f t="shared" si="608"/>
        <v>PRKWG2303M</v>
      </c>
      <c r="I528" s="2" t="str">
        <f t="shared" si="624"/>
        <v>(99)MIX99</v>
      </c>
      <c r="J528" s="2" t="str">
        <f>"170"</f>
        <v>170</v>
      </c>
      <c r="K528" s="2" t="str">
        <f>"PRKWG2303M99170"</f>
        <v>PRKWG2303M99170</v>
      </c>
      <c r="L528" s="2" t="str">
        <f t="shared" si="609"/>
        <v>899</v>
      </c>
      <c r="M528" s="1">
        <v>1</v>
      </c>
      <c r="N528" s="1">
        <v>899</v>
      </c>
      <c r="O528" s="1">
        <v>1</v>
      </c>
      <c r="P528" s="1">
        <v>899</v>
      </c>
      <c r="Q528" s="1">
        <v>0</v>
      </c>
      <c r="R528" s="1">
        <v>0</v>
      </c>
      <c r="S528" s="1">
        <v>0</v>
      </c>
      <c r="T528" s="1">
        <v>0</v>
      </c>
      <c r="U528" s="1">
        <v>1</v>
      </c>
      <c r="V528" s="1">
        <v>899</v>
      </c>
    </row>
    <row r="529" spans="1:22" x14ac:dyDescent="0.15">
      <c r="A529" s="2" t="str">
        <f t="shared" ref="A529:A531" si="631">"CT01PR-7"</f>
        <v>CT01PR-7</v>
      </c>
      <c r="C529" s="2" t="str">
        <f t="shared" ref="C529:C531" si="632">"TP_CT01(PR)-7-发货"</f>
        <v>TP_CT01(PR)-7-发货</v>
      </c>
      <c r="D529" s="2" t="str">
        <f t="shared" si="605"/>
        <v>2026</v>
      </c>
      <c r="E529" s="2" t="str">
        <f t="shared" si="606"/>
        <v>夏</v>
      </c>
      <c r="F529" s="2" t="str">
        <f t="shared" si="607"/>
        <v>一般毛衣(SWEATER)(KW)</v>
      </c>
      <c r="H529" s="2" t="str">
        <f t="shared" si="608"/>
        <v>PRKWG2303M</v>
      </c>
      <c r="I529" s="2" t="str">
        <f t="shared" ref="I529:I531" si="633">"(99)MIX99"</f>
        <v>(99)MIX99</v>
      </c>
      <c r="J529" s="2" t="str">
        <f>"160"</f>
        <v>160</v>
      </c>
      <c r="K529" s="2" t="str">
        <f>"PRKWG2303M99160"</f>
        <v>PRKWG2303M99160</v>
      </c>
      <c r="L529" s="2" t="str">
        <f t="shared" si="609"/>
        <v>899</v>
      </c>
      <c r="M529" s="1">
        <v>36</v>
      </c>
      <c r="N529" s="1">
        <v>32364</v>
      </c>
      <c r="O529" s="1">
        <v>36</v>
      </c>
      <c r="P529" s="1">
        <v>32364</v>
      </c>
      <c r="Q529" s="1">
        <v>0</v>
      </c>
      <c r="R529" s="1">
        <v>0</v>
      </c>
      <c r="S529" s="1">
        <v>0</v>
      </c>
      <c r="T529" s="1">
        <v>0</v>
      </c>
      <c r="U529" s="1">
        <v>36</v>
      </c>
      <c r="V529" s="1">
        <v>32364</v>
      </c>
    </row>
    <row r="530" spans="1:22" x14ac:dyDescent="0.15">
      <c r="A530" s="2" t="str">
        <f t="shared" si="631"/>
        <v>CT01PR-7</v>
      </c>
      <c r="C530" s="2" t="str">
        <f t="shared" si="632"/>
        <v>TP_CT01(PR)-7-发货</v>
      </c>
      <c r="D530" s="2" t="str">
        <f t="shared" si="605"/>
        <v>2026</v>
      </c>
      <c r="E530" s="2" t="str">
        <f t="shared" si="606"/>
        <v>夏</v>
      </c>
      <c r="F530" s="2" t="str">
        <f t="shared" si="607"/>
        <v>一般毛衣(SWEATER)(KW)</v>
      </c>
      <c r="H530" s="2" t="str">
        <f t="shared" si="608"/>
        <v>PRKWG2303M</v>
      </c>
      <c r="I530" s="2" t="str">
        <f t="shared" si="633"/>
        <v>(99)MIX99</v>
      </c>
      <c r="J530" s="2" t="str">
        <f t="shared" ref="J530" si="634">"165"</f>
        <v>165</v>
      </c>
      <c r="K530" s="2" t="str">
        <f>"PRKWG2303M99165"</f>
        <v>PRKWG2303M99165</v>
      </c>
      <c r="L530" s="2" t="str">
        <f t="shared" si="609"/>
        <v>899</v>
      </c>
      <c r="M530" s="1">
        <v>22</v>
      </c>
      <c r="N530" s="1">
        <v>19778</v>
      </c>
      <c r="O530" s="1">
        <v>22</v>
      </c>
      <c r="P530" s="1">
        <v>19778</v>
      </c>
      <c r="Q530" s="1">
        <v>0</v>
      </c>
      <c r="R530" s="1">
        <v>0</v>
      </c>
      <c r="S530" s="1">
        <v>0</v>
      </c>
      <c r="T530" s="1">
        <v>0</v>
      </c>
      <c r="U530" s="1">
        <v>22</v>
      </c>
      <c r="V530" s="1">
        <v>19778</v>
      </c>
    </row>
    <row r="531" spans="1:22" x14ac:dyDescent="0.15">
      <c r="A531" s="2" t="str">
        <f t="shared" si="631"/>
        <v>CT01PR-7</v>
      </c>
      <c r="C531" s="2" t="str">
        <f t="shared" si="632"/>
        <v>TP_CT01(PR)-7-发货</v>
      </c>
      <c r="D531" s="2" t="str">
        <f t="shared" si="605"/>
        <v>2026</v>
      </c>
      <c r="E531" s="2" t="str">
        <f t="shared" si="606"/>
        <v>夏</v>
      </c>
      <c r="F531" s="2" t="str">
        <f t="shared" si="607"/>
        <v>一般毛衣(SWEATER)(KW)</v>
      </c>
      <c r="H531" s="2" t="str">
        <f t="shared" si="608"/>
        <v>PRKWG2303M</v>
      </c>
      <c r="I531" s="2" t="str">
        <f t="shared" si="633"/>
        <v>(99)MIX99</v>
      </c>
      <c r="J531" s="2" t="str">
        <f>"170"</f>
        <v>170</v>
      </c>
      <c r="K531" s="2" t="str">
        <f>"PRKWG2303M99170"</f>
        <v>PRKWG2303M99170</v>
      </c>
      <c r="L531" s="2" t="str">
        <f t="shared" si="609"/>
        <v>899</v>
      </c>
      <c r="M531" s="1">
        <v>15</v>
      </c>
      <c r="N531" s="1">
        <v>13485</v>
      </c>
      <c r="O531" s="1">
        <v>15</v>
      </c>
      <c r="P531" s="1">
        <v>13485</v>
      </c>
      <c r="Q531" s="1">
        <v>0</v>
      </c>
      <c r="R531" s="1">
        <v>0</v>
      </c>
      <c r="S531" s="1">
        <v>0</v>
      </c>
      <c r="T531" s="1">
        <v>0</v>
      </c>
      <c r="U531" s="1">
        <v>15</v>
      </c>
      <c r="V531" s="1">
        <v>13485</v>
      </c>
    </row>
  </sheetData>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576"/>
  <sheetViews>
    <sheetView workbookViewId="0">
      <selection sqref="A1:XFD1048576"/>
    </sheetView>
  </sheetViews>
  <sheetFormatPr defaultColWidth="9" defaultRowHeight="14.25" x14ac:dyDescent="0.15"/>
  <cols>
    <col min="1" max="2" width="8" style="1" customWidth="1"/>
    <col min="3" max="3" width="19.25" style="1" customWidth="1"/>
    <col min="4" max="4" width="12.125" style="1" customWidth="1"/>
    <col min="5" max="5" width="11.125" style="1" customWidth="1"/>
    <col min="6" max="6" width="7.75" style="1" customWidth="1"/>
    <col min="7" max="7" width="17" style="1" customWidth="1"/>
    <col min="8" max="8" width="9.25" style="1" customWidth="1"/>
    <col min="9" max="9" width="10.875" style="1" customWidth="1"/>
    <col min="10" max="10" width="12.25" style="1" customWidth="1"/>
    <col min="11" max="11" width="4.375" style="1" customWidth="1"/>
    <col min="12" max="12" width="10.375" style="1" customWidth="1"/>
  </cols>
  <sheetData>
    <row r="1" spans="1:12" ht="28.5" x14ac:dyDescent="0.15">
      <c r="A1" s="16" t="s">
        <v>23</v>
      </c>
      <c r="B1" s="16" t="s">
        <v>24</v>
      </c>
      <c r="C1" s="16" t="s">
        <v>25</v>
      </c>
      <c r="D1" s="2" t="s">
        <v>26</v>
      </c>
      <c r="E1" s="2" t="s">
        <v>8</v>
      </c>
      <c r="F1" s="2" t="s">
        <v>9</v>
      </c>
      <c r="G1" s="17" t="s">
        <v>27</v>
      </c>
      <c r="H1" s="2" t="s">
        <v>28</v>
      </c>
      <c r="I1" s="17" t="s">
        <v>29</v>
      </c>
      <c r="J1" s="2" t="s">
        <v>30</v>
      </c>
      <c r="K1" s="2" t="s">
        <v>31</v>
      </c>
      <c r="L1" s="2" t="s">
        <v>32</v>
      </c>
    </row>
    <row r="2" spans="1:12" x14ac:dyDescent="0.15">
      <c r="A2" s="2" t="s">
        <v>262</v>
      </c>
      <c r="B2" s="2" t="s">
        <v>267</v>
      </c>
      <c r="C2" s="2" t="s">
        <v>386</v>
      </c>
      <c r="D2" s="2" t="s">
        <v>387</v>
      </c>
      <c r="E2" s="2" t="s">
        <v>388</v>
      </c>
      <c r="F2" s="2" t="s">
        <v>389</v>
      </c>
      <c r="G2" s="2" t="s">
        <v>353</v>
      </c>
      <c r="H2" s="2" t="s">
        <v>390</v>
      </c>
      <c r="I2" s="2" t="s">
        <v>391</v>
      </c>
      <c r="J2" s="2" t="s">
        <v>392</v>
      </c>
      <c r="K2" s="1">
        <v>1</v>
      </c>
      <c r="L2" s="1">
        <v>590.54999999999995</v>
      </c>
    </row>
    <row r="3" spans="1:12" x14ac:dyDescent="0.15">
      <c r="A3" s="2" t="s">
        <v>262</v>
      </c>
      <c r="B3" s="2" t="s">
        <v>267</v>
      </c>
      <c r="C3" s="2" t="s">
        <v>386</v>
      </c>
      <c r="D3" s="2" t="s">
        <v>387</v>
      </c>
      <c r="E3" s="2" t="s">
        <v>388</v>
      </c>
      <c r="F3" s="2" t="s">
        <v>389</v>
      </c>
      <c r="G3" s="2" t="s">
        <v>353</v>
      </c>
      <c r="H3" s="2" t="s">
        <v>390</v>
      </c>
      <c r="I3" s="2" t="s">
        <v>393</v>
      </c>
      <c r="J3" s="2" t="s">
        <v>392</v>
      </c>
      <c r="K3" s="1">
        <v>2</v>
      </c>
      <c r="L3" s="1">
        <v>899</v>
      </c>
    </row>
    <row r="4" spans="1:12" x14ac:dyDescent="0.15">
      <c r="A4" s="2" t="s">
        <v>262</v>
      </c>
      <c r="B4" s="2" t="s">
        <v>267</v>
      </c>
      <c r="C4" s="2" t="s">
        <v>386</v>
      </c>
      <c r="D4" s="2" t="s">
        <v>387</v>
      </c>
      <c r="E4" s="2" t="s">
        <v>388</v>
      </c>
      <c r="F4" s="2" t="s">
        <v>389</v>
      </c>
      <c r="G4" s="2" t="s">
        <v>353</v>
      </c>
      <c r="H4" s="2" t="s">
        <v>390</v>
      </c>
      <c r="I4" s="2" t="s">
        <v>394</v>
      </c>
      <c r="J4" s="2" t="s">
        <v>392</v>
      </c>
      <c r="K4" s="1">
        <v>1</v>
      </c>
      <c r="L4" s="1">
        <v>449.5</v>
      </c>
    </row>
    <row r="5" spans="1:12" x14ac:dyDescent="0.15">
      <c r="A5" s="2" t="s">
        <v>262</v>
      </c>
      <c r="B5" s="2" t="s">
        <v>271</v>
      </c>
      <c r="C5" s="2" t="s">
        <v>395</v>
      </c>
      <c r="D5" s="2" t="s">
        <v>387</v>
      </c>
      <c r="E5" s="2" t="s">
        <v>388</v>
      </c>
      <c r="F5" s="2" t="s">
        <v>389</v>
      </c>
      <c r="G5" s="2" t="s">
        <v>353</v>
      </c>
      <c r="H5" s="2" t="s">
        <v>390</v>
      </c>
      <c r="I5" s="2" t="s">
        <v>393</v>
      </c>
      <c r="J5" s="2" t="s">
        <v>392</v>
      </c>
      <c r="K5" s="1">
        <v>1</v>
      </c>
      <c r="L5" s="1">
        <v>629.29999999999995</v>
      </c>
    </row>
    <row r="6" spans="1:12" x14ac:dyDescent="0.15">
      <c r="A6" s="2" t="s">
        <v>262</v>
      </c>
      <c r="B6" s="2" t="s">
        <v>273</v>
      </c>
      <c r="C6" s="2" t="s">
        <v>396</v>
      </c>
      <c r="D6" s="2" t="s">
        <v>387</v>
      </c>
      <c r="E6" s="2" t="s">
        <v>388</v>
      </c>
      <c r="F6" s="2" t="s">
        <v>389</v>
      </c>
      <c r="G6" s="2" t="s">
        <v>353</v>
      </c>
      <c r="H6" s="2" t="s">
        <v>390</v>
      </c>
      <c r="I6" s="2" t="s">
        <v>394</v>
      </c>
      <c r="J6" s="2" t="s">
        <v>392</v>
      </c>
      <c r="K6" s="1">
        <v>5</v>
      </c>
      <c r="L6" s="1">
        <v>4225.3</v>
      </c>
    </row>
    <row r="7" spans="1:12" x14ac:dyDescent="0.15">
      <c r="A7" s="2" t="s">
        <v>262</v>
      </c>
      <c r="B7" s="2" t="s">
        <v>273</v>
      </c>
      <c r="C7" s="2" t="s">
        <v>396</v>
      </c>
      <c r="D7" s="2" t="s">
        <v>387</v>
      </c>
      <c r="E7" s="2" t="s">
        <v>388</v>
      </c>
      <c r="F7" s="2" t="s">
        <v>389</v>
      </c>
      <c r="G7" s="2" t="s">
        <v>353</v>
      </c>
      <c r="H7" s="2" t="s">
        <v>390</v>
      </c>
      <c r="I7" s="2" t="s">
        <v>524</v>
      </c>
      <c r="J7" s="2" t="s">
        <v>392</v>
      </c>
      <c r="K7" s="1">
        <v>6</v>
      </c>
      <c r="L7" s="1">
        <v>1618.2</v>
      </c>
    </row>
    <row r="8" spans="1:12" x14ac:dyDescent="0.15">
      <c r="A8" s="2" t="s">
        <v>262</v>
      </c>
      <c r="B8" s="2" t="s">
        <v>273</v>
      </c>
      <c r="C8" s="2" t="s">
        <v>396</v>
      </c>
      <c r="D8" s="2" t="s">
        <v>387</v>
      </c>
      <c r="E8" s="2" t="s">
        <v>388</v>
      </c>
      <c r="F8" s="2" t="s">
        <v>400</v>
      </c>
      <c r="G8" s="2" t="s">
        <v>354</v>
      </c>
      <c r="H8" s="2" t="s">
        <v>390</v>
      </c>
      <c r="I8" s="2" t="s">
        <v>391</v>
      </c>
      <c r="J8" s="2" t="s">
        <v>392</v>
      </c>
      <c r="K8" s="1">
        <v>1</v>
      </c>
      <c r="L8" s="1">
        <v>596.27</v>
      </c>
    </row>
    <row r="9" spans="1:12" x14ac:dyDescent="0.15">
      <c r="A9" s="2" t="s">
        <v>262</v>
      </c>
      <c r="B9" s="2" t="s">
        <v>273</v>
      </c>
      <c r="C9" s="2" t="s">
        <v>396</v>
      </c>
      <c r="D9" s="2" t="s">
        <v>387</v>
      </c>
      <c r="E9" s="2" t="s">
        <v>388</v>
      </c>
      <c r="F9" s="2" t="s">
        <v>400</v>
      </c>
      <c r="G9" s="2" t="s">
        <v>354</v>
      </c>
      <c r="H9" s="2" t="s">
        <v>390</v>
      </c>
      <c r="I9" s="2" t="s">
        <v>401</v>
      </c>
      <c r="J9" s="2" t="s">
        <v>392</v>
      </c>
      <c r="K9" s="1">
        <v>1</v>
      </c>
      <c r="L9" s="1">
        <v>581.92999999999995</v>
      </c>
    </row>
    <row r="10" spans="1:12" x14ac:dyDescent="0.15">
      <c r="A10" s="2" t="s">
        <v>262</v>
      </c>
      <c r="B10" s="2" t="s">
        <v>273</v>
      </c>
      <c r="C10" s="2" t="s">
        <v>396</v>
      </c>
      <c r="D10" s="2" t="s">
        <v>387</v>
      </c>
      <c r="E10" s="2" t="s">
        <v>388</v>
      </c>
      <c r="F10" s="2" t="s">
        <v>400</v>
      </c>
      <c r="G10" s="2" t="s">
        <v>354</v>
      </c>
      <c r="H10" s="2" t="s">
        <v>390</v>
      </c>
      <c r="I10" s="2" t="s">
        <v>402</v>
      </c>
      <c r="J10" s="2" t="s">
        <v>392</v>
      </c>
      <c r="K10" s="1">
        <v>2</v>
      </c>
      <c r="L10" s="1">
        <v>1178.74</v>
      </c>
    </row>
    <row r="11" spans="1:12" x14ac:dyDescent="0.15">
      <c r="A11" s="2" t="s">
        <v>262</v>
      </c>
      <c r="B11" s="2" t="s">
        <v>273</v>
      </c>
      <c r="C11" s="2" t="s">
        <v>396</v>
      </c>
      <c r="D11" s="2" t="s">
        <v>387</v>
      </c>
      <c r="E11" s="2" t="s">
        <v>388</v>
      </c>
      <c r="F11" s="2" t="s">
        <v>400</v>
      </c>
      <c r="G11" s="2" t="s">
        <v>354</v>
      </c>
      <c r="H11" s="2" t="s">
        <v>390</v>
      </c>
      <c r="I11" s="2" t="s">
        <v>394</v>
      </c>
      <c r="J11" s="2" t="s">
        <v>392</v>
      </c>
      <c r="K11" s="1">
        <v>-4</v>
      </c>
      <c r="L11" s="1">
        <v>-3596</v>
      </c>
    </row>
    <row r="12" spans="1:12" x14ac:dyDescent="0.15">
      <c r="A12" s="2" t="s">
        <v>262</v>
      </c>
      <c r="B12" s="2" t="s">
        <v>273</v>
      </c>
      <c r="C12" s="2" t="s">
        <v>396</v>
      </c>
      <c r="D12" s="2" t="s">
        <v>387</v>
      </c>
      <c r="E12" s="2" t="s">
        <v>388</v>
      </c>
      <c r="F12" s="2" t="s">
        <v>400</v>
      </c>
      <c r="G12" s="2" t="s">
        <v>354</v>
      </c>
      <c r="H12" s="2" t="s">
        <v>390</v>
      </c>
      <c r="I12" s="2" t="s">
        <v>403</v>
      </c>
      <c r="J12" s="2" t="s">
        <v>392</v>
      </c>
      <c r="K12" s="1">
        <v>1</v>
      </c>
      <c r="L12" s="1">
        <v>629.29999999999995</v>
      </c>
    </row>
    <row r="13" spans="1:12" x14ac:dyDescent="0.15">
      <c r="A13" s="2" t="s">
        <v>262</v>
      </c>
      <c r="B13" s="2" t="s">
        <v>273</v>
      </c>
      <c r="C13" s="2" t="s">
        <v>396</v>
      </c>
      <c r="D13" s="2" t="s">
        <v>387</v>
      </c>
      <c r="E13" s="2" t="s">
        <v>388</v>
      </c>
      <c r="F13" s="2" t="s">
        <v>400</v>
      </c>
      <c r="G13" s="2" t="s">
        <v>354</v>
      </c>
      <c r="H13" s="2" t="s">
        <v>390</v>
      </c>
      <c r="I13" s="2" t="s">
        <v>524</v>
      </c>
      <c r="J13" s="2" t="s">
        <v>392</v>
      </c>
      <c r="K13" s="1">
        <v>6</v>
      </c>
      <c r="L13" s="1">
        <v>1618.2</v>
      </c>
    </row>
    <row r="14" spans="1:12" x14ac:dyDescent="0.15">
      <c r="A14" s="2" t="s">
        <v>262</v>
      </c>
      <c r="B14" s="2" t="s">
        <v>273</v>
      </c>
      <c r="C14" s="2" t="s">
        <v>396</v>
      </c>
      <c r="D14" s="2" t="s">
        <v>387</v>
      </c>
      <c r="E14" s="2" t="s">
        <v>388</v>
      </c>
      <c r="F14" s="2" t="s">
        <v>397</v>
      </c>
      <c r="G14" s="2" t="s">
        <v>355</v>
      </c>
      <c r="H14" s="2" t="s">
        <v>390</v>
      </c>
      <c r="I14" s="2" t="s">
        <v>391</v>
      </c>
      <c r="J14" s="2" t="s">
        <v>392</v>
      </c>
      <c r="K14" s="1">
        <v>1</v>
      </c>
      <c r="L14" s="1">
        <v>719.2</v>
      </c>
    </row>
    <row r="15" spans="1:12" x14ac:dyDescent="0.15">
      <c r="A15" s="2" t="s">
        <v>139</v>
      </c>
      <c r="B15" s="2" t="s">
        <v>140</v>
      </c>
      <c r="C15" s="2" t="s">
        <v>404</v>
      </c>
      <c r="D15" s="2" t="s">
        <v>387</v>
      </c>
      <c r="E15" s="2" t="s">
        <v>388</v>
      </c>
      <c r="F15" s="2" t="s">
        <v>389</v>
      </c>
      <c r="G15" s="2" t="s">
        <v>353</v>
      </c>
      <c r="H15" s="2" t="s">
        <v>390</v>
      </c>
      <c r="I15" s="2" t="s">
        <v>524</v>
      </c>
      <c r="J15" s="2" t="s">
        <v>392</v>
      </c>
      <c r="K15" s="1">
        <v>1</v>
      </c>
      <c r="L15" s="1">
        <v>629.29999999999995</v>
      </c>
    </row>
    <row r="16" spans="1:12" x14ac:dyDescent="0.15">
      <c r="A16" s="2" t="s">
        <v>139</v>
      </c>
      <c r="B16" s="2" t="s">
        <v>144</v>
      </c>
      <c r="C16" s="2" t="s">
        <v>405</v>
      </c>
      <c r="D16" s="2" t="s">
        <v>387</v>
      </c>
      <c r="E16" s="2" t="s">
        <v>388</v>
      </c>
      <c r="F16" s="2" t="s">
        <v>389</v>
      </c>
      <c r="G16" s="2" t="s">
        <v>353</v>
      </c>
      <c r="H16" s="2" t="s">
        <v>390</v>
      </c>
      <c r="I16" s="2" t="s">
        <v>406</v>
      </c>
      <c r="J16" s="2" t="s">
        <v>392</v>
      </c>
      <c r="K16" s="1">
        <v>1</v>
      </c>
      <c r="L16" s="1">
        <v>899</v>
      </c>
    </row>
    <row r="17" spans="1:12" x14ac:dyDescent="0.15">
      <c r="A17" s="2" t="s">
        <v>139</v>
      </c>
      <c r="B17" s="2" t="s">
        <v>144</v>
      </c>
      <c r="C17" s="2" t="s">
        <v>405</v>
      </c>
      <c r="D17" s="2" t="s">
        <v>387</v>
      </c>
      <c r="E17" s="2" t="s">
        <v>388</v>
      </c>
      <c r="F17" s="2" t="s">
        <v>400</v>
      </c>
      <c r="G17" s="2" t="s">
        <v>354</v>
      </c>
      <c r="H17" s="2" t="s">
        <v>390</v>
      </c>
      <c r="I17" s="2" t="s">
        <v>407</v>
      </c>
      <c r="J17" s="2" t="s">
        <v>392</v>
      </c>
      <c r="K17" s="1">
        <v>1</v>
      </c>
      <c r="L17" s="1">
        <v>899</v>
      </c>
    </row>
    <row r="18" spans="1:12" x14ac:dyDescent="0.15">
      <c r="A18" s="2" t="s">
        <v>139</v>
      </c>
      <c r="B18" s="2" t="s">
        <v>144</v>
      </c>
      <c r="C18" s="2" t="s">
        <v>405</v>
      </c>
      <c r="D18" s="2" t="s">
        <v>387</v>
      </c>
      <c r="E18" s="2" t="s">
        <v>388</v>
      </c>
      <c r="F18" s="2" t="s">
        <v>400</v>
      </c>
      <c r="G18" s="2" t="s">
        <v>354</v>
      </c>
      <c r="H18" s="2" t="s">
        <v>390</v>
      </c>
      <c r="I18" s="2" t="s">
        <v>394</v>
      </c>
      <c r="J18" s="2" t="s">
        <v>392</v>
      </c>
      <c r="K18" s="1">
        <v>1</v>
      </c>
      <c r="L18" s="1">
        <v>899</v>
      </c>
    </row>
    <row r="19" spans="1:12" x14ac:dyDescent="0.15">
      <c r="A19" s="2" t="s">
        <v>139</v>
      </c>
      <c r="B19" s="2" t="s">
        <v>152</v>
      </c>
      <c r="C19" s="2" t="s">
        <v>408</v>
      </c>
      <c r="D19" s="2" t="s">
        <v>387</v>
      </c>
      <c r="E19" s="2" t="s">
        <v>388</v>
      </c>
      <c r="F19" s="2" t="s">
        <v>389</v>
      </c>
      <c r="G19" s="2" t="s">
        <v>353</v>
      </c>
      <c r="H19" s="2" t="s">
        <v>390</v>
      </c>
      <c r="I19" s="2" t="s">
        <v>409</v>
      </c>
      <c r="J19" s="2" t="s">
        <v>392</v>
      </c>
      <c r="K19" s="1">
        <v>1</v>
      </c>
      <c r="L19" s="1">
        <v>629.29999999999995</v>
      </c>
    </row>
    <row r="20" spans="1:12" x14ac:dyDescent="0.15">
      <c r="A20" s="2" t="s">
        <v>139</v>
      </c>
      <c r="B20" s="2" t="s">
        <v>152</v>
      </c>
      <c r="C20" s="2" t="s">
        <v>408</v>
      </c>
      <c r="D20" s="2" t="s">
        <v>387</v>
      </c>
      <c r="E20" s="2" t="s">
        <v>388</v>
      </c>
      <c r="F20" s="2" t="s">
        <v>389</v>
      </c>
      <c r="G20" s="2" t="s">
        <v>353</v>
      </c>
      <c r="H20" s="2" t="s">
        <v>390</v>
      </c>
      <c r="I20" s="2" t="s">
        <v>393</v>
      </c>
      <c r="J20" s="2" t="s">
        <v>392</v>
      </c>
      <c r="K20" s="1">
        <v>1</v>
      </c>
      <c r="L20" s="1">
        <v>629.29999999999995</v>
      </c>
    </row>
    <row r="21" spans="1:12" x14ac:dyDescent="0.15">
      <c r="A21" s="2" t="s">
        <v>139</v>
      </c>
      <c r="B21" s="2" t="s">
        <v>152</v>
      </c>
      <c r="C21" s="2" t="s">
        <v>408</v>
      </c>
      <c r="D21" s="2" t="s">
        <v>387</v>
      </c>
      <c r="E21" s="2" t="s">
        <v>388</v>
      </c>
      <c r="F21" s="2" t="s">
        <v>400</v>
      </c>
      <c r="G21" s="2" t="s">
        <v>354</v>
      </c>
      <c r="H21" s="2" t="s">
        <v>390</v>
      </c>
      <c r="I21" s="2" t="s">
        <v>410</v>
      </c>
      <c r="J21" s="2" t="s">
        <v>392</v>
      </c>
      <c r="K21" s="1">
        <v>1</v>
      </c>
      <c r="L21" s="1">
        <v>629.29999999999995</v>
      </c>
    </row>
    <row r="22" spans="1:12" x14ac:dyDescent="0.15">
      <c r="A22" s="2" t="s">
        <v>139</v>
      </c>
      <c r="B22" s="2" t="s">
        <v>152</v>
      </c>
      <c r="C22" s="2" t="s">
        <v>408</v>
      </c>
      <c r="D22" s="2" t="s">
        <v>387</v>
      </c>
      <c r="E22" s="2" t="s">
        <v>388</v>
      </c>
      <c r="F22" s="2" t="s">
        <v>397</v>
      </c>
      <c r="G22" s="2" t="s">
        <v>355</v>
      </c>
      <c r="H22" s="2" t="s">
        <v>390</v>
      </c>
      <c r="I22" s="2" t="s">
        <v>411</v>
      </c>
      <c r="J22" s="2" t="s">
        <v>392</v>
      </c>
      <c r="K22" s="1">
        <v>1</v>
      </c>
      <c r="L22" s="1">
        <v>269.7</v>
      </c>
    </row>
    <row r="23" spans="1:12" x14ac:dyDescent="0.15">
      <c r="A23" s="2" t="s">
        <v>139</v>
      </c>
      <c r="B23" s="2" t="s">
        <v>146</v>
      </c>
      <c r="C23" s="2" t="s">
        <v>412</v>
      </c>
      <c r="D23" s="2" t="s">
        <v>387</v>
      </c>
      <c r="E23" s="2" t="s">
        <v>388</v>
      </c>
      <c r="F23" s="2" t="s">
        <v>389</v>
      </c>
      <c r="G23" s="2" t="s">
        <v>353</v>
      </c>
      <c r="H23" s="2" t="s">
        <v>390</v>
      </c>
      <c r="I23" s="2" t="s">
        <v>410</v>
      </c>
      <c r="J23" s="2" t="s">
        <v>392</v>
      </c>
      <c r="K23" s="1">
        <v>1</v>
      </c>
      <c r="L23" s="1">
        <v>619</v>
      </c>
    </row>
    <row r="24" spans="1:12" x14ac:dyDescent="0.15">
      <c r="A24" s="2" t="s">
        <v>139</v>
      </c>
      <c r="B24" s="2" t="s">
        <v>146</v>
      </c>
      <c r="C24" s="2" t="s">
        <v>412</v>
      </c>
      <c r="D24" s="2" t="s">
        <v>387</v>
      </c>
      <c r="E24" s="2" t="s">
        <v>388</v>
      </c>
      <c r="F24" s="2" t="s">
        <v>389</v>
      </c>
      <c r="G24" s="2" t="s">
        <v>353</v>
      </c>
      <c r="H24" s="2" t="s">
        <v>390</v>
      </c>
      <c r="I24" s="2" t="s">
        <v>393</v>
      </c>
      <c r="J24" s="2" t="s">
        <v>392</v>
      </c>
      <c r="K24" s="1">
        <v>1</v>
      </c>
      <c r="L24" s="1">
        <v>578.70000000000005</v>
      </c>
    </row>
    <row r="25" spans="1:12" x14ac:dyDescent="0.15">
      <c r="A25" s="2" t="s">
        <v>139</v>
      </c>
      <c r="B25" s="2" t="s">
        <v>146</v>
      </c>
      <c r="C25" s="2" t="s">
        <v>412</v>
      </c>
      <c r="D25" s="2" t="s">
        <v>387</v>
      </c>
      <c r="E25" s="2" t="s">
        <v>388</v>
      </c>
      <c r="F25" s="2" t="s">
        <v>389</v>
      </c>
      <c r="G25" s="2" t="s">
        <v>353</v>
      </c>
      <c r="H25" s="2" t="s">
        <v>390</v>
      </c>
      <c r="I25" s="2" t="s">
        <v>403</v>
      </c>
      <c r="J25" s="2" t="s">
        <v>392</v>
      </c>
      <c r="K25" s="1">
        <v>-1</v>
      </c>
      <c r="L25" s="1">
        <v>-899</v>
      </c>
    </row>
    <row r="26" spans="1:12" x14ac:dyDescent="0.15">
      <c r="A26" s="2" t="s">
        <v>139</v>
      </c>
      <c r="B26" s="2" t="s">
        <v>146</v>
      </c>
      <c r="C26" s="2" t="s">
        <v>412</v>
      </c>
      <c r="D26" s="2" t="s">
        <v>387</v>
      </c>
      <c r="E26" s="2" t="s">
        <v>388</v>
      </c>
      <c r="F26" s="2" t="s">
        <v>389</v>
      </c>
      <c r="G26" s="2" t="s">
        <v>353</v>
      </c>
      <c r="H26" s="2" t="s">
        <v>390</v>
      </c>
      <c r="I26" s="2" t="s">
        <v>524</v>
      </c>
      <c r="J26" s="2" t="s">
        <v>392</v>
      </c>
      <c r="K26" s="1">
        <v>1</v>
      </c>
      <c r="L26" s="1">
        <v>548.52</v>
      </c>
    </row>
    <row r="27" spans="1:12" x14ac:dyDescent="0.15">
      <c r="A27" s="2" t="s">
        <v>139</v>
      </c>
      <c r="B27" s="2" t="s">
        <v>146</v>
      </c>
      <c r="C27" s="2" t="s">
        <v>412</v>
      </c>
      <c r="D27" s="2" t="s">
        <v>387</v>
      </c>
      <c r="E27" s="2" t="s">
        <v>388</v>
      </c>
      <c r="F27" s="2" t="s">
        <v>400</v>
      </c>
      <c r="G27" s="2" t="s">
        <v>354</v>
      </c>
      <c r="H27" s="2" t="s">
        <v>390</v>
      </c>
      <c r="I27" s="2" t="s">
        <v>391</v>
      </c>
      <c r="J27" s="2" t="s">
        <v>392</v>
      </c>
      <c r="K27" s="1">
        <v>2</v>
      </c>
      <c r="L27" s="1">
        <v>888.7</v>
      </c>
    </row>
    <row r="28" spans="1:12" x14ac:dyDescent="0.15">
      <c r="A28" s="2" t="s">
        <v>139</v>
      </c>
      <c r="B28" s="2" t="s">
        <v>146</v>
      </c>
      <c r="C28" s="2" t="s">
        <v>412</v>
      </c>
      <c r="D28" s="2" t="s">
        <v>387</v>
      </c>
      <c r="E28" s="2" t="s">
        <v>388</v>
      </c>
      <c r="F28" s="2" t="s">
        <v>400</v>
      </c>
      <c r="G28" s="2" t="s">
        <v>354</v>
      </c>
      <c r="H28" s="2" t="s">
        <v>390</v>
      </c>
      <c r="I28" s="2" t="s">
        <v>413</v>
      </c>
      <c r="J28" s="2" t="s">
        <v>392</v>
      </c>
      <c r="K28" s="1">
        <v>1</v>
      </c>
      <c r="L28" s="1">
        <v>619</v>
      </c>
    </row>
    <row r="29" spans="1:12" x14ac:dyDescent="0.15">
      <c r="A29" s="2" t="s">
        <v>139</v>
      </c>
      <c r="B29" s="2" t="s">
        <v>146</v>
      </c>
      <c r="C29" s="2" t="s">
        <v>412</v>
      </c>
      <c r="D29" s="2" t="s">
        <v>387</v>
      </c>
      <c r="E29" s="2" t="s">
        <v>388</v>
      </c>
      <c r="F29" s="2" t="s">
        <v>400</v>
      </c>
      <c r="G29" s="2" t="s">
        <v>354</v>
      </c>
      <c r="H29" s="2" t="s">
        <v>390</v>
      </c>
      <c r="I29" s="2" t="s">
        <v>414</v>
      </c>
      <c r="J29" s="2" t="s">
        <v>392</v>
      </c>
      <c r="K29" s="1">
        <v>1</v>
      </c>
      <c r="L29" s="1">
        <v>619</v>
      </c>
    </row>
    <row r="30" spans="1:12" x14ac:dyDescent="0.15">
      <c r="A30" s="2" t="s">
        <v>139</v>
      </c>
      <c r="B30" s="2" t="s">
        <v>146</v>
      </c>
      <c r="C30" s="2" t="s">
        <v>412</v>
      </c>
      <c r="D30" s="2" t="s">
        <v>387</v>
      </c>
      <c r="E30" s="2" t="s">
        <v>388</v>
      </c>
      <c r="F30" s="2" t="s">
        <v>400</v>
      </c>
      <c r="G30" s="2" t="s">
        <v>354</v>
      </c>
      <c r="H30" s="2" t="s">
        <v>390</v>
      </c>
      <c r="I30" s="2" t="s">
        <v>415</v>
      </c>
      <c r="J30" s="2" t="s">
        <v>392</v>
      </c>
      <c r="K30" s="1">
        <v>1</v>
      </c>
      <c r="L30" s="1">
        <v>269.7</v>
      </c>
    </row>
    <row r="31" spans="1:12" x14ac:dyDescent="0.15">
      <c r="A31" s="2" t="s">
        <v>139</v>
      </c>
      <c r="B31" s="2" t="s">
        <v>146</v>
      </c>
      <c r="C31" s="2" t="s">
        <v>412</v>
      </c>
      <c r="D31" s="2" t="s">
        <v>387</v>
      </c>
      <c r="E31" s="2" t="s">
        <v>388</v>
      </c>
      <c r="F31" s="2" t="s">
        <v>400</v>
      </c>
      <c r="G31" s="2" t="s">
        <v>354</v>
      </c>
      <c r="H31" s="2" t="s">
        <v>390</v>
      </c>
      <c r="I31" s="2" t="s">
        <v>394</v>
      </c>
      <c r="J31" s="2" t="s">
        <v>392</v>
      </c>
      <c r="K31" s="1">
        <v>2</v>
      </c>
      <c r="L31" s="1">
        <v>1138</v>
      </c>
    </row>
    <row r="32" spans="1:12" x14ac:dyDescent="0.15">
      <c r="A32" s="2" t="s">
        <v>139</v>
      </c>
      <c r="B32" s="2" t="s">
        <v>146</v>
      </c>
      <c r="C32" s="2" t="s">
        <v>412</v>
      </c>
      <c r="D32" s="2" t="s">
        <v>387</v>
      </c>
      <c r="E32" s="2" t="s">
        <v>388</v>
      </c>
      <c r="F32" s="2" t="s">
        <v>400</v>
      </c>
      <c r="G32" s="2" t="s">
        <v>354</v>
      </c>
      <c r="H32" s="2" t="s">
        <v>390</v>
      </c>
      <c r="I32" s="2" t="s">
        <v>403</v>
      </c>
      <c r="J32" s="2" t="s">
        <v>392</v>
      </c>
      <c r="K32" s="1">
        <v>1</v>
      </c>
      <c r="L32" s="1">
        <v>899</v>
      </c>
    </row>
    <row r="33" spans="1:12" x14ac:dyDescent="0.15">
      <c r="A33" s="2" t="s">
        <v>139</v>
      </c>
      <c r="B33" s="2" t="s">
        <v>146</v>
      </c>
      <c r="C33" s="2" t="s">
        <v>412</v>
      </c>
      <c r="D33" s="2" t="s">
        <v>387</v>
      </c>
      <c r="E33" s="2" t="s">
        <v>388</v>
      </c>
      <c r="F33" s="2" t="s">
        <v>397</v>
      </c>
      <c r="G33" s="2" t="s">
        <v>355</v>
      </c>
      <c r="H33" s="2" t="s">
        <v>390</v>
      </c>
      <c r="I33" s="2" t="s">
        <v>391</v>
      </c>
      <c r="J33" s="2" t="s">
        <v>392</v>
      </c>
      <c r="K33" s="1">
        <v>1</v>
      </c>
      <c r="L33" s="1">
        <v>619</v>
      </c>
    </row>
    <row r="34" spans="1:12" x14ac:dyDescent="0.15">
      <c r="A34" s="2" t="s">
        <v>139</v>
      </c>
      <c r="B34" s="2" t="s">
        <v>146</v>
      </c>
      <c r="C34" s="2" t="s">
        <v>412</v>
      </c>
      <c r="D34" s="2" t="s">
        <v>387</v>
      </c>
      <c r="E34" s="2" t="s">
        <v>388</v>
      </c>
      <c r="F34" s="2" t="s">
        <v>397</v>
      </c>
      <c r="G34" s="2" t="s">
        <v>355</v>
      </c>
      <c r="H34" s="2" t="s">
        <v>390</v>
      </c>
      <c r="I34" s="2" t="s">
        <v>410</v>
      </c>
      <c r="J34" s="2" t="s">
        <v>392</v>
      </c>
      <c r="K34" s="1">
        <v>1</v>
      </c>
      <c r="L34" s="1">
        <v>619</v>
      </c>
    </row>
    <row r="35" spans="1:12" x14ac:dyDescent="0.15">
      <c r="A35" s="2" t="s">
        <v>154</v>
      </c>
      <c r="B35" s="2" t="s">
        <v>159</v>
      </c>
      <c r="C35" s="2" t="s">
        <v>416</v>
      </c>
      <c r="D35" s="2" t="s">
        <v>387</v>
      </c>
      <c r="E35" s="2" t="s">
        <v>388</v>
      </c>
      <c r="F35" s="2" t="s">
        <v>389</v>
      </c>
      <c r="G35" s="2" t="s">
        <v>353</v>
      </c>
      <c r="H35" s="2" t="s">
        <v>390</v>
      </c>
      <c r="I35" s="2" t="s">
        <v>417</v>
      </c>
      <c r="J35" s="2" t="s">
        <v>392</v>
      </c>
      <c r="K35" s="1">
        <v>1</v>
      </c>
      <c r="L35" s="1">
        <v>490.89</v>
      </c>
    </row>
    <row r="36" spans="1:12" x14ac:dyDescent="0.15">
      <c r="A36" s="2" t="s">
        <v>154</v>
      </c>
      <c r="B36" s="2" t="s">
        <v>159</v>
      </c>
      <c r="C36" s="2" t="s">
        <v>416</v>
      </c>
      <c r="D36" s="2" t="s">
        <v>387</v>
      </c>
      <c r="E36" s="2" t="s">
        <v>388</v>
      </c>
      <c r="F36" s="2" t="s">
        <v>400</v>
      </c>
      <c r="G36" s="2" t="s">
        <v>354</v>
      </c>
      <c r="H36" s="2" t="s">
        <v>390</v>
      </c>
      <c r="I36" s="2" t="s">
        <v>398</v>
      </c>
      <c r="J36" s="2" t="s">
        <v>392</v>
      </c>
      <c r="K36" s="1">
        <v>-1</v>
      </c>
      <c r="L36" s="1">
        <v>-899</v>
      </c>
    </row>
    <row r="37" spans="1:12" x14ac:dyDescent="0.15">
      <c r="A37" s="2" t="s">
        <v>154</v>
      </c>
      <c r="B37" s="2" t="s">
        <v>159</v>
      </c>
      <c r="C37" s="2" t="s">
        <v>416</v>
      </c>
      <c r="D37" s="2" t="s">
        <v>387</v>
      </c>
      <c r="E37" s="2" t="s">
        <v>388</v>
      </c>
      <c r="F37" s="2" t="s">
        <v>397</v>
      </c>
      <c r="G37" s="2" t="s">
        <v>355</v>
      </c>
      <c r="H37" s="2" t="s">
        <v>390</v>
      </c>
      <c r="I37" s="2" t="s">
        <v>398</v>
      </c>
      <c r="J37" s="2" t="s">
        <v>392</v>
      </c>
      <c r="K37" s="1">
        <v>1</v>
      </c>
      <c r="L37" s="1">
        <v>899</v>
      </c>
    </row>
    <row r="38" spans="1:12" x14ac:dyDescent="0.15">
      <c r="A38" s="2" t="s">
        <v>154</v>
      </c>
      <c r="B38" s="2" t="s">
        <v>155</v>
      </c>
      <c r="C38" s="2" t="s">
        <v>418</v>
      </c>
      <c r="D38" s="2" t="s">
        <v>387</v>
      </c>
      <c r="E38" s="2" t="s">
        <v>388</v>
      </c>
      <c r="F38" s="2" t="s">
        <v>389</v>
      </c>
      <c r="G38" s="2" t="s">
        <v>353</v>
      </c>
      <c r="H38" s="2" t="s">
        <v>390</v>
      </c>
      <c r="I38" s="2" t="s">
        <v>393</v>
      </c>
      <c r="J38" s="2" t="s">
        <v>392</v>
      </c>
      <c r="K38" s="1">
        <v>1</v>
      </c>
      <c r="L38" s="1">
        <v>547.55999999999995</v>
      </c>
    </row>
    <row r="39" spans="1:12" x14ac:dyDescent="0.15">
      <c r="A39" s="2" t="s">
        <v>154</v>
      </c>
      <c r="B39" s="2" t="s">
        <v>369</v>
      </c>
      <c r="C39" s="2" t="s">
        <v>419</v>
      </c>
      <c r="D39" s="2" t="s">
        <v>387</v>
      </c>
      <c r="E39" s="2" t="s">
        <v>388</v>
      </c>
      <c r="F39" s="2" t="s">
        <v>389</v>
      </c>
      <c r="G39" s="2" t="s">
        <v>353</v>
      </c>
      <c r="H39" s="2" t="s">
        <v>390</v>
      </c>
      <c r="I39" s="2" t="s">
        <v>413</v>
      </c>
      <c r="J39" s="2" t="s">
        <v>392</v>
      </c>
      <c r="K39" s="1">
        <v>1</v>
      </c>
      <c r="L39" s="1">
        <v>509.3</v>
      </c>
    </row>
    <row r="40" spans="1:12" x14ac:dyDescent="0.15">
      <c r="A40" s="2" t="s">
        <v>154</v>
      </c>
      <c r="B40" s="2" t="s">
        <v>369</v>
      </c>
      <c r="C40" s="2" t="s">
        <v>419</v>
      </c>
      <c r="D40" s="2" t="s">
        <v>387</v>
      </c>
      <c r="E40" s="2" t="s">
        <v>388</v>
      </c>
      <c r="F40" s="2" t="s">
        <v>389</v>
      </c>
      <c r="G40" s="2" t="s">
        <v>353</v>
      </c>
      <c r="H40" s="2" t="s">
        <v>390</v>
      </c>
      <c r="I40" s="2" t="s">
        <v>420</v>
      </c>
      <c r="J40" s="2" t="s">
        <v>392</v>
      </c>
      <c r="K40" s="1">
        <v>1</v>
      </c>
      <c r="L40" s="1">
        <v>493.32</v>
      </c>
    </row>
    <row r="41" spans="1:12" x14ac:dyDescent="0.15">
      <c r="A41" s="2" t="s">
        <v>40</v>
      </c>
      <c r="B41" s="2" t="s">
        <v>362</v>
      </c>
      <c r="C41" s="2" t="s">
        <v>421</v>
      </c>
      <c r="D41" s="2" t="s">
        <v>387</v>
      </c>
      <c r="E41" s="2" t="s">
        <v>388</v>
      </c>
      <c r="F41" s="2" t="s">
        <v>389</v>
      </c>
      <c r="G41" s="2" t="s">
        <v>353</v>
      </c>
      <c r="H41" s="2" t="s">
        <v>390</v>
      </c>
      <c r="I41" s="2" t="s">
        <v>409</v>
      </c>
      <c r="J41" s="2" t="s">
        <v>392</v>
      </c>
      <c r="K41" s="1">
        <v>-1</v>
      </c>
      <c r="L41" s="1">
        <v>-899</v>
      </c>
    </row>
    <row r="42" spans="1:12" x14ac:dyDescent="0.15">
      <c r="A42" s="2" t="s">
        <v>40</v>
      </c>
      <c r="B42" s="2" t="s">
        <v>362</v>
      </c>
      <c r="C42" s="2" t="s">
        <v>421</v>
      </c>
      <c r="D42" s="2" t="s">
        <v>387</v>
      </c>
      <c r="E42" s="2" t="s">
        <v>388</v>
      </c>
      <c r="F42" s="2" t="s">
        <v>400</v>
      </c>
      <c r="G42" s="2" t="s">
        <v>354</v>
      </c>
      <c r="H42" s="2" t="s">
        <v>390</v>
      </c>
      <c r="I42" s="2" t="s">
        <v>409</v>
      </c>
      <c r="J42" s="2" t="s">
        <v>392</v>
      </c>
      <c r="K42" s="1">
        <v>2</v>
      </c>
      <c r="L42" s="1">
        <v>1478.3</v>
      </c>
    </row>
    <row r="43" spans="1:12" x14ac:dyDescent="0.15">
      <c r="A43" s="2" t="s">
        <v>40</v>
      </c>
      <c r="B43" s="2" t="s">
        <v>41</v>
      </c>
      <c r="C43" s="2" t="s">
        <v>422</v>
      </c>
      <c r="D43" s="2" t="s">
        <v>387</v>
      </c>
      <c r="E43" s="2" t="s">
        <v>388</v>
      </c>
      <c r="F43" s="2" t="s">
        <v>400</v>
      </c>
      <c r="G43" s="2" t="s">
        <v>354</v>
      </c>
      <c r="H43" s="2" t="s">
        <v>390</v>
      </c>
      <c r="I43" s="2" t="s">
        <v>415</v>
      </c>
      <c r="J43" s="2" t="s">
        <v>392</v>
      </c>
      <c r="K43" s="1">
        <v>1</v>
      </c>
      <c r="L43" s="1">
        <v>509.3</v>
      </c>
    </row>
    <row r="44" spans="1:12" x14ac:dyDescent="0.15">
      <c r="A44" s="2" t="s">
        <v>40</v>
      </c>
      <c r="B44" s="2" t="s">
        <v>41</v>
      </c>
      <c r="C44" s="2" t="s">
        <v>422</v>
      </c>
      <c r="D44" s="2" t="s">
        <v>387</v>
      </c>
      <c r="E44" s="2" t="s">
        <v>388</v>
      </c>
      <c r="F44" s="2" t="s">
        <v>400</v>
      </c>
      <c r="G44" s="2" t="s">
        <v>354</v>
      </c>
      <c r="H44" s="2" t="s">
        <v>390</v>
      </c>
      <c r="I44" s="2" t="s">
        <v>423</v>
      </c>
      <c r="J44" s="2" t="s">
        <v>392</v>
      </c>
      <c r="K44" s="1">
        <v>1</v>
      </c>
      <c r="L44" s="1">
        <v>579.29999999999995</v>
      </c>
    </row>
    <row r="45" spans="1:12" x14ac:dyDescent="0.15">
      <c r="A45" s="2" t="s">
        <v>40</v>
      </c>
      <c r="B45" s="2" t="s">
        <v>41</v>
      </c>
      <c r="C45" s="2" t="s">
        <v>422</v>
      </c>
      <c r="D45" s="2" t="s">
        <v>387</v>
      </c>
      <c r="E45" s="2" t="s">
        <v>388</v>
      </c>
      <c r="F45" s="2" t="s">
        <v>397</v>
      </c>
      <c r="G45" s="2" t="s">
        <v>355</v>
      </c>
      <c r="H45" s="2" t="s">
        <v>390</v>
      </c>
      <c r="I45" s="2" t="s">
        <v>398</v>
      </c>
      <c r="J45" s="2" t="s">
        <v>392</v>
      </c>
      <c r="K45" s="1">
        <v>1</v>
      </c>
      <c r="L45" s="1">
        <v>571.51</v>
      </c>
    </row>
    <row r="46" spans="1:12" x14ac:dyDescent="0.15">
      <c r="A46" s="2" t="s">
        <v>40</v>
      </c>
      <c r="B46" s="2" t="s">
        <v>342</v>
      </c>
      <c r="C46" s="2" t="s">
        <v>424</v>
      </c>
      <c r="D46" s="2" t="s">
        <v>387</v>
      </c>
      <c r="E46" s="2" t="s">
        <v>388</v>
      </c>
      <c r="F46" s="2" t="s">
        <v>389</v>
      </c>
      <c r="G46" s="2" t="s">
        <v>353</v>
      </c>
      <c r="H46" s="2" t="s">
        <v>390</v>
      </c>
      <c r="I46" s="2" t="s">
        <v>394</v>
      </c>
      <c r="J46" s="2" t="s">
        <v>392</v>
      </c>
      <c r="K46" s="1">
        <v>1</v>
      </c>
      <c r="L46" s="1">
        <v>629.29999999999995</v>
      </c>
    </row>
    <row r="47" spans="1:12" x14ac:dyDescent="0.15">
      <c r="A47" s="2" t="s">
        <v>40</v>
      </c>
      <c r="B47" s="2" t="s">
        <v>47</v>
      </c>
      <c r="C47" s="2" t="s">
        <v>425</v>
      </c>
      <c r="D47" s="2" t="s">
        <v>387</v>
      </c>
      <c r="E47" s="2" t="s">
        <v>388</v>
      </c>
      <c r="F47" s="2" t="s">
        <v>400</v>
      </c>
      <c r="G47" s="2" t="s">
        <v>354</v>
      </c>
      <c r="H47" s="2" t="s">
        <v>390</v>
      </c>
      <c r="I47" s="2" t="s">
        <v>409</v>
      </c>
      <c r="J47" s="2" t="s">
        <v>392</v>
      </c>
      <c r="K47" s="1">
        <v>1</v>
      </c>
      <c r="L47" s="1">
        <v>764.15</v>
      </c>
    </row>
    <row r="48" spans="1:12" x14ac:dyDescent="0.15">
      <c r="A48" s="2" t="s">
        <v>40</v>
      </c>
      <c r="B48" s="2" t="s">
        <v>50</v>
      </c>
      <c r="C48" s="2" t="s">
        <v>426</v>
      </c>
      <c r="D48" s="2" t="s">
        <v>387</v>
      </c>
      <c r="E48" s="2" t="s">
        <v>388</v>
      </c>
      <c r="F48" s="2" t="s">
        <v>389</v>
      </c>
      <c r="G48" s="2" t="s">
        <v>353</v>
      </c>
      <c r="H48" s="2" t="s">
        <v>390</v>
      </c>
      <c r="I48" s="2" t="s">
        <v>393</v>
      </c>
      <c r="J48" s="2" t="s">
        <v>392</v>
      </c>
      <c r="K48" s="1">
        <v>1</v>
      </c>
      <c r="L48" s="1">
        <v>529.29999999999995</v>
      </c>
    </row>
    <row r="49" spans="1:12" x14ac:dyDescent="0.15">
      <c r="A49" s="2" t="s">
        <v>189</v>
      </c>
      <c r="B49" s="2" t="s">
        <v>202</v>
      </c>
      <c r="C49" s="2" t="s">
        <v>427</v>
      </c>
      <c r="D49" s="2" t="s">
        <v>387</v>
      </c>
      <c r="E49" s="2" t="s">
        <v>388</v>
      </c>
      <c r="F49" s="2" t="s">
        <v>389</v>
      </c>
      <c r="G49" s="2" t="s">
        <v>353</v>
      </c>
      <c r="H49" s="2" t="s">
        <v>390</v>
      </c>
      <c r="I49" s="2" t="s">
        <v>393</v>
      </c>
      <c r="J49" s="2" t="s">
        <v>392</v>
      </c>
      <c r="K49" s="1">
        <v>1</v>
      </c>
      <c r="L49" s="1">
        <v>568.92999999999995</v>
      </c>
    </row>
    <row r="50" spans="1:12" x14ac:dyDescent="0.15">
      <c r="A50" s="2" t="s">
        <v>189</v>
      </c>
      <c r="B50" s="2" t="s">
        <v>202</v>
      </c>
      <c r="C50" s="2" t="s">
        <v>427</v>
      </c>
      <c r="D50" s="2" t="s">
        <v>387</v>
      </c>
      <c r="E50" s="2" t="s">
        <v>388</v>
      </c>
      <c r="F50" s="2" t="s">
        <v>400</v>
      </c>
      <c r="G50" s="2" t="s">
        <v>354</v>
      </c>
      <c r="H50" s="2" t="s">
        <v>390</v>
      </c>
      <c r="I50" s="2" t="s">
        <v>428</v>
      </c>
      <c r="J50" s="2" t="s">
        <v>392</v>
      </c>
      <c r="K50" s="1">
        <v>1</v>
      </c>
      <c r="L50" s="1">
        <v>0</v>
      </c>
    </row>
    <row r="51" spans="1:12" x14ac:dyDescent="0.15">
      <c r="A51" s="2" t="s">
        <v>189</v>
      </c>
      <c r="B51" s="2" t="s">
        <v>194</v>
      </c>
      <c r="C51" s="2" t="s">
        <v>429</v>
      </c>
      <c r="D51" s="2" t="s">
        <v>387</v>
      </c>
      <c r="E51" s="2" t="s">
        <v>388</v>
      </c>
      <c r="F51" s="2" t="s">
        <v>389</v>
      </c>
      <c r="G51" s="2" t="s">
        <v>353</v>
      </c>
      <c r="H51" s="2" t="s">
        <v>390</v>
      </c>
      <c r="I51" s="2" t="s">
        <v>410</v>
      </c>
      <c r="J51" s="2" t="s">
        <v>392</v>
      </c>
      <c r="K51" s="1">
        <v>1</v>
      </c>
      <c r="L51" s="1">
        <v>269.7</v>
      </c>
    </row>
    <row r="52" spans="1:12" x14ac:dyDescent="0.15">
      <c r="A52" s="2" t="s">
        <v>189</v>
      </c>
      <c r="B52" s="2" t="s">
        <v>194</v>
      </c>
      <c r="C52" s="2" t="s">
        <v>429</v>
      </c>
      <c r="D52" s="2" t="s">
        <v>387</v>
      </c>
      <c r="E52" s="2" t="s">
        <v>388</v>
      </c>
      <c r="F52" s="2" t="s">
        <v>397</v>
      </c>
      <c r="G52" s="2" t="s">
        <v>355</v>
      </c>
      <c r="H52" s="2" t="s">
        <v>390</v>
      </c>
      <c r="I52" s="2" t="s">
        <v>414</v>
      </c>
      <c r="J52" s="2" t="s">
        <v>392</v>
      </c>
      <c r="K52" s="1">
        <v>1</v>
      </c>
      <c r="L52" s="1">
        <v>269.7</v>
      </c>
    </row>
    <row r="53" spans="1:12" x14ac:dyDescent="0.15">
      <c r="A53" s="2" t="s">
        <v>189</v>
      </c>
      <c r="B53" s="2" t="s">
        <v>196</v>
      </c>
      <c r="C53" s="2" t="s">
        <v>430</v>
      </c>
      <c r="D53" s="2" t="s">
        <v>387</v>
      </c>
      <c r="E53" s="2" t="s">
        <v>388</v>
      </c>
      <c r="F53" s="2" t="s">
        <v>389</v>
      </c>
      <c r="G53" s="2" t="s">
        <v>353</v>
      </c>
      <c r="H53" s="2" t="s">
        <v>390</v>
      </c>
      <c r="I53" s="2" t="s">
        <v>409</v>
      </c>
      <c r="J53" s="2" t="s">
        <v>392</v>
      </c>
      <c r="K53" s="1">
        <v>1</v>
      </c>
      <c r="L53" s="1">
        <v>629.29999999999995</v>
      </c>
    </row>
    <row r="54" spans="1:12" x14ac:dyDescent="0.15">
      <c r="A54" s="2" t="s">
        <v>189</v>
      </c>
      <c r="B54" s="2" t="s">
        <v>196</v>
      </c>
      <c r="C54" s="2" t="s">
        <v>430</v>
      </c>
      <c r="D54" s="2" t="s">
        <v>387</v>
      </c>
      <c r="E54" s="2" t="s">
        <v>388</v>
      </c>
      <c r="F54" s="2" t="s">
        <v>389</v>
      </c>
      <c r="G54" s="2" t="s">
        <v>353</v>
      </c>
      <c r="H54" s="2" t="s">
        <v>390</v>
      </c>
      <c r="I54" s="2" t="s">
        <v>415</v>
      </c>
      <c r="J54" s="2" t="s">
        <v>392</v>
      </c>
      <c r="K54" s="1">
        <v>1</v>
      </c>
      <c r="L54" s="1">
        <v>600.79999999999995</v>
      </c>
    </row>
    <row r="55" spans="1:12" x14ac:dyDescent="0.15">
      <c r="A55" s="2" t="s">
        <v>189</v>
      </c>
      <c r="B55" s="2" t="s">
        <v>196</v>
      </c>
      <c r="C55" s="2" t="s">
        <v>430</v>
      </c>
      <c r="D55" s="2" t="s">
        <v>387</v>
      </c>
      <c r="E55" s="2" t="s">
        <v>388</v>
      </c>
      <c r="F55" s="2" t="s">
        <v>389</v>
      </c>
      <c r="G55" s="2" t="s">
        <v>353</v>
      </c>
      <c r="H55" s="2" t="s">
        <v>390</v>
      </c>
      <c r="I55" s="2" t="s">
        <v>431</v>
      </c>
      <c r="J55" s="2" t="s">
        <v>392</v>
      </c>
      <c r="K55" s="1">
        <v>1</v>
      </c>
      <c r="L55" s="1">
        <v>579.29999999999995</v>
      </c>
    </row>
    <row r="56" spans="1:12" x14ac:dyDescent="0.15">
      <c r="A56" s="2" t="s">
        <v>189</v>
      </c>
      <c r="B56" s="2" t="s">
        <v>196</v>
      </c>
      <c r="C56" s="2" t="s">
        <v>430</v>
      </c>
      <c r="D56" s="2" t="s">
        <v>387</v>
      </c>
      <c r="E56" s="2" t="s">
        <v>388</v>
      </c>
      <c r="F56" s="2" t="s">
        <v>400</v>
      </c>
      <c r="G56" s="2" t="s">
        <v>354</v>
      </c>
      <c r="H56" s="2" t="s">
        <v>390</v>
      </c>
      <c r="I56" s="2" t="s">
        <v>432</v>
      </c>
      <c r="J56" s="2" t="s">
        <v>392</v>
      </c>
      <c r="K56" s="1">
        <v>1</v>
      </c>
      <c r="L56" s="1">
        <v>629.29999999999995</v>
      </c>
    </row>
    <row r="57" spans="1:12" x14ac:dyDescent="0.15">
      <c r="A57" s="2" t="s">
        <v>189</v>
      </c>
      <c r="B57" s="2" t="s">
        <v>196</v>
      </c>
      <c r="C57" s="2" t="s">
        <v>430</v>
      </c>
      <c r="D57" s="2" t="s">
        <v>387</v>
      </c>
      <c r="E57" s="2" t="s">
        <v>388</v>
      </c>
      <c r="F57" s="2" t="s">
        <v>400</v>
      </c>
      <c r="G57" s="2" t="s">
        <v>354</v>
      </c>
      <c r="H57" s="2" t="s">
        <v>390</v>
      </c>
      <c r="I57" s="2" t="s">
        <v>402</v>
      </c>
      <c r="J57" s="2" t="s">
        <v>392</v>
      </c>
      <c r="K57" s="1">
        <v>1</v>
      </c>
      <c r="L57" s="1">
        <v>629.29999999999995</v>
      </c>
    </row>
    <row r="58" spans="1:12" x14ac:dyDescent="0.15">
      <c r="A58" s="2" t="s">
        <v>189</v>
      </c>
      <c r="B58" s="2" t="s">
        <v>196</v>
      </c>
      <c r="C58" s="2" t="s">
        <v>430</v>
      </c>
      <c r="D58" s="2" t="s">
        <v>387</v>
      </c>
      <c r="E58" s="2" t="s">
        <v>388</v>
      </c>
      <c r="F58" s="2" t="s">
        <v>400</v>
      </c>
      <c r="G58" s="2" t="s">
        <v>354</v>
      </c>
      <c r="H58" s="2" t="s">
        <v>390</v>
      </c>
      <c r="I58" s="2" t="s">
        <v>393</v>
      </c>
      <c r="J58" s="2" t="s">
        <v>392</v>
      </c>
      <c r="K58" s="1">
        <v>1</v>
      </c>
      <c r="L58" s="1">
        <v>629.29999999999995</v>
      </c>
    </row>
    <row r="59" spans="1:12" x14ac:dyDescent="0.15">
      <c r="A59" s="2" t="s">
        <v>189</v>
      </c>
      <c r="B59" s="2" t="s">
        <v>196</v>
      </c>
      <c r="C59" s="2" t="s">
        <v>430</v>
      </c>
      <c r="D59" s="2" t="s">
        <v>387</v>
      </c>
      <c r="E59" s="2" t="s">
        <v>388</v>
      </c>
      <c r="F59" s="2" t="s">
        <v>400</v>
      </c>
      <c r="G59" s="2" t="s">
        <v>354</v>
      </c>
      <c r="H59" s="2" t="s">
        <v>390</v>
      </c>
      <c r="I59" s="2" t="s">
        <v>394</v>
      </c>
      <c r="J59" s="2" t="s">
        <v>392</v>
      </c>
      <c r="K59" s="1">
        <v>1</v>
      </c>
      <c r="L59" s="1">
        <v>584.30999999999995</v>
      </c>
    </row>
    <row r="60" spans="1:12" x14ac:dyDescent="0.15">
      <c r="A60" s="2" t="s">
        <v>189</v>
      </c>
      <c r="B60" s="2" t="s">
        <v>196</v>
      </c>
      <c r="C60" s="2" t="s">
        <v>430</v>
      </c>
      <c r="D60" s="2" t="s">
        <v>387</v>
      </c>
      <c r="E60" s="2" t="s">
        <v>388</v>
      </c>
      <c r="F60" s="2" t="s">
        <v>397</v>
      </c>
      <c r="G60" s="2" t="s">
        <v>355</v>
      </c>
      <c r="H60" s="2" t="s">
        <v>390</v>
      </c>
      <c r="I60" s="2" t="s">
        <v>406</v>
      </c>
      <c r="J60" s="2" t="s">
        <v>392</v>
      </c>
      <c r="K60" s="1">
        <v>1</v>
      </c>
      <c r="L60" s="1">
        <v>579.29999999999995</v>
      </c>
    </row>
    <row r="61" spans="1:12" x14ac:dyDescent="0.15">
      <c r="A61" s="2" t="s">
        <v>189</v>
      </c>
      <c r="B61" s="2" t="s">
        <v>196</v>
      </c>
      <c r="C61" s="2" t="s">
        <v>430</v>
      </c>
      <c r="D61" s="2" t="s">
        <v>387</v>
      </c>
      <c r="E61" s="2" t="s">
        <v>388</v>
      </c>
      <c r="F61" s="2" t="s">
        <v>397</v>
      </c>
      <c r="G61" s="2" t="s">
        <v>355</v>
      </c>
      <c r="H61" s="2" t="s">
        <v>390</v>
      </c>
      <c r="I61" s="2" t="s">
        <v>394</v>
      </c>
      <c r="J61" s="2" t="s">
        <v>392</v>
      </c>
      <c r="K61" s="1">
        <v>1</v>
      </c>
      <c r="L61" s="1">
        <v>629.29999999999995</v>
      </c>
    </row>
    <row r="62" spans="1:12" x14ac:dyDescent="0.15">
      <c r="A62" s="2" t="s">
        <v>189</v>
      </c>
      <c r="B62" s="2" t="s">
        <v>212</v>
      </c>
      <c r="C62" s="2" t="s">
        <v>433</v>
      </c>
      <c r="D62" s="2" t="s">
        <v>387</v>
      </c>
      <c r="E62" s="2" t="s">
        <v>388</v>
      </c>
      <c r="F62" s="2" t="s">
        <v>389</v>
      </c>
      <c r="G62" s="2" t="s">
        <v>353</v>
      </c>
      <c r="H62" s="2" t="s">
        <v>390</v>
      </c>
      <c r="I62" s="2" t="s">
        <v>402</v>
      </c>
      <c r="J62" s="2" t="s">
        <v>392</v>
      </c>
      <c r="K62" s="1">
        <v>1</v>
      </c>
      <c r="L62" s="1">
        <v>629.29999999999995</v>
      </c>
    </row>
    <row r="63" spans="1:12" x14ac:dyDescent="0.15">
      <c r="A63" s="2" t="s">
        <v>189</v>
      </c>
      <c r="B63" s="2" t="s">
        <v>212</v>
      </c>
      <c r="C63" s="2" t="s">
        <v>433</v>
      </c>
      <c r="D63" s="2" t="s">
        <v>387</v>
      </c>
      <c r="E63" s="2" t="s">
        <v>388</v>
      </c>
      <c r="F63" s="2" t="s">
        <v>389</v>
      </c>
      <c r="G63" s="2" t="s">
        <v>353</v>
      </c>
      <c r="H63" s="2" t="s">
        <v>390</v>
      </c>
      <c r="I63" s="2" t="s">
        <v>420</v>
      </c>
      <c r="J63" s="2" t="s">
        <v>392</v>
      </c>
      <c r="K63" s="1">
        <v>1</v>
      </c>
      <c r="L63" s="1">
        <v>579.29999999999995</v>
      </c>
    </row>
    <row r="64" spans="1:12" x14ac:dyDescent="0.15">
      <c r="A64" s="2" t="s">
        <v>189</v>
      </c>
      <c r="B64" s="2" t="s">
        <v>212</v>
      </c>
      <c r="C64" s="2" t="s">
        <v>433</v>
      </c>
      <c r="D64" s="2" t="s">
        <v>387</v>
      </c>
      <c r="E64" s="2" t="s">
        <v>388</v>
      </c>
      <c r="F64" s="2" t="s">
        <v>400</v>
      </c>
      <c r="G64" s="2" t="s">
        <v>354</v>
      </c>
      <c r="H64" s="2" t="s">
        <v>390</v>
      </c>
      <c r="I64" s="2" t="s">
        <v>413</v>
      </c>
      <c r="J64" s="2" t="s">
        <v>392</v>
      </c>
      <c r="K64" s="1">
        <v>1</v>
      </c>
      <c r="L64" s="1">
        <v>579.29999999999995</v>
      </c>
    </row>
    <row r="65" spans="1:12" x14ac:dyDescent="0.15">
      <c r="A65" s="2" t="s">
        <v>189</v>
      </c>
      <c r="B65" s="2" t="s">
        <v>190</v>
      </c>
      <c r="C65" s="2" t="s">
        <v>434</v>
      </c>
      <c r="D65" s="2" t="s">
        <v>387</v>
      </c>
      <c r="E65" s="2" t="s">
        <v>388</v>
      </c>
      <c r="F65" s="2" t="s">
        <v>400</v>
      </c>
      <c r="G65" s="2" t="s">
        <v>354</v>
      </c>
      <c r="H65" s="2" t="s">
        <v>390</v>
      </c>
      <c r="I65" s="2" t="s">
        <v>409</v>
      </c>
      <c r="J65" s="2" t="s">
        <v>392</v>
      </c>
      <c r="K65" s="1">
        <v>1</v>
      </c>
      <c r="L65" s="1">
        <v>598.28</v>
      </c>
    </row>
    <row r="66" spans="1:12" x14ac:dyDescent="0.15">
      <c r="A66" s="2" t="s">
        <v>189</v>
      </c>
      <c r="B66" s="2" t="s">
        <v>346</v>
      </c>
      <c r="C66" s="2" t="s">
        <v>435</v>
      </c>
      <c r="D66" s="2" t="s">
        <v>387</v>
      </c>
      <c r="E66" s="2" t="s">
        <v>388</v>
      </c>
      <c r="F66" s="2" t="s">
        <v>389</v>
      </c>
      <c r="G66" s="2" t="s">
        <v>353</v>
      </c>
      <c r="H66" s="2" t="s">
        <v>390</v>
      </c>
      <c r="I66" s="2" t="s">
        <v>417</v>
      </c>
      <c r="J66" s="2" t="s">
        <v>392</v>
      </c>
      <c r="K66" s="1">
        <v>1</v>
      </c>
      <c r="L66" s="1">
        <v>566.37</v>
      </c>
    </row>
    <row r="67" spans="1:12" x14ac:dyDescent="0.15">
      <c r="A67" s="2" t="s">
        <v>189</v>
      </c>
      <c r="B67" s="2" t="s">
        <v>346</v>
      </c>
      <c r="C67" s="2" t="s">
        <v>435</v>
      </c>
      <c r="D67" s="2" t="s">
        <v>387</v>
      </c>
      <c r="E67" s="2" t="s">
        <v>388</v>
      </c>
      <c r="F67" s="2" t="s">
        <v>389</v>
      </c>
      <c r="G67" s="2" t="s">
        <v>353</v>
      </c>
      <c r="H67" s="2" t="s">
        <v>390</v>
      </c>
      <c r="I67" s="2" t="s">
        <v>393</v>
      </c>
      <c r="J67" s="2" t="s">
        <v>392</v>
      </c>
      <c r="K67" s="1">
        <v>3</v>
      </c>
      <c r="L67" s="1">
        <v>1699.11</v>
      </c>
    </row>
    <row r="68" spans="1:12" x14ac:dyDescent="0.15">
      <c r="A68" s="2" t="s">
        <v>189</v>
      </c>
      <c r="B68" s="2" t="s">
        <v>346</v>
      </c>
      <c r="C68" s="2" t="s">
        <v>435</v>
      </c>
      <c r="D68" s="2" t="s">
        <v>387</v>
      </c>
      <c r="E68" s="2" t="s">
        <v>388</v>
      </c>
      <c r="F68" s="2" t="s">
        <v>400</v>
      </c>
      <c r="G68" s="2" t="s">
        <v>354</v>
      </c>
      <c r="H68" s="2" t="s">
        <v>390</v>
      </c>
      <c r="I68" s="2" t="s">
        <v>393</v>
      </c>
      <c r="J68" s="2" t="s">
        <v>392</v>
      </c>
      <c r="K68" s="1">
        <v>1</v>
      </c>
      <c r="L68" s="1">
        <v>566.37</v>
      </c>
    </row>
    <row r="69" spans="1:12" x14ac:dyDescent="0.15">
      <c r="A69" s="2" t="s">
        <v>189</v>
      </c>
      <c r="B69" s="2" t="s">
        <v>346</v>
      </c>
      <c r="C69" s="2" t="s">
        <v>435</v>
      </c>
      <c r="D69" s="2" t="s">
        <v>387</v>
      </c>
      <c r="E69" s="2" t="s">
        <v>388</v>
      </c>
      <c r="F69" s="2" t="s">
        <v>400</v>
      </c>
      <c r="G69" s="2" t="s">
        <v>354</v>
      </c>
      <c r="H69" s="2" t="s">
        <v>390</v>
      </c>
      <c r="I69" s="2" t="s">
        <v>394</v>
      </c>
      <c r="J69" s="2" t="s">
        <v>392</v>
      </c>
      <c r="K69" s="1">
        <v>4</v>
      </c>
      <c r="L69" s="1">
        <v>2218.08</v>
      </c>
    </row>
    <row r="70" spans="1:12" x14ac:dyDescent="0.15">
      <c r="A70" s="2" t="s">
        <v>189</v>
      </c>
      <c r="B70" s="2" t="s">
        <v>210</v>
      </c>
      <c r="C70" s="2" t="s">
        <v>436</v>
      </c>
      <c r="D70" s="2" t="s">
        <v>387</v>
      </c>
      <c r="E70" s="2" t="s">
        <v>388</v>
      </c>
      <c r="F70" s="2" t="s">
        <v>399</v>
      </c>
      <c r="G70" s="2" t="s">
        <v>352</v>
      </c>
      <c r="H70" s="2" t="s">
        <v>390</v>
      </c>
      <c r="I70" s="2" t="s">
        <v>403</v>
      </c>
      <c r="J70" s="2" t="s">
        <v>392</v>
      </c>
      <c r="K70" s="1">
        <v>0</v>
      </c>
      <c r="L70" s="1">
        <v>-269.7</v>
      </c>
    </row>
    <row r="71" spans="1:12" x14ac:dyDescent="0.15">
      <c r="A71" s="2" t="s">
        <v>189</v>
      </c>
      <c r="B71" s="2" t="s">
        <v>210</v>
      </c>
      <c r="C71" s="2" t="s">
        <v>436</v>
      </c>
      <c r="D71" s="2" t="s">
        <v>387</v>
      </c>
      <c r="E71" s="2" t="s">
        <v>388</v>
      </c>
      <c r="F71" s="2" t="s">
        <v>399</v>
      </c>
      <c r="G71" s="2" t="s">
        <v>352</v>
      </c>
      <c r="H71" s="2" t="s">
        <v>390</v>
      </c>
      <c r="I71" s="2" t="s">
        <v>431</v>
      </c>
      <c r="J71" s="2" t="s">
        <v>392</v>
      </c>
      <c r="K71" s="1">
        <v>-1</v>
      </c>
      <c r="L71" s="1">
        <v>-899</v>
      </c>
    </row>
    <row r="72" spans="1:12" x14ac:dyDescent="0.15">
      <c r="A72" s="2" t="s">
        <v>189</v>
      </c>
      <c r="B72" s="2" t="s">
        <v>210</v>
      </c>
      <c r="C72" s="2" t="s">
        <v>436</v>
      </c>
      <c r="D72" s="2" t="s">
        <v>387</v>
      </c>
      <c r="E72" s="2" t="s">
        <v>388</v>
      </c>
      <c r="F72" s="2" t="s">
        <v>389</v>
      </c>
      <c r="G72" s="2" t="s">
        <v>353</v>
      </c>
      <c r="H72" s="2" t="s">
        <v>390</v>
      </c>
      <c r="I72" s="2" t="s">
        <v>403</v>
      </c>
      <c r="J72" s="2" t="s">
        <v>392</v>
      </c>
      <c r="K72" s="1">
        <v>1</v>
      </c>
      <c r="L72" s="1">
        <v>899</v>
      </c>
    </row>
    <row r="73" spans="1:12" x14ac:dyDescent="0.15">
      <c r="A73" s="2" t="s">
        <v>189</v>
      </c>
      <c r="B73" s="2" t="s">
        <v>210</v>
      </c>
      <c r="C73" s="2" t="s">
        <v>436</v>
      </c>
      <c r="D73" s="2" t="s">
        <v>387</v>
      </c>
      <c r="E73" s="2" t="s">
        <v>388</v>
      </c>
      <c r="F73" s="2" t="s">
        <v>400</v>
      </c>
      <c r="G73" s="2" t="s">
        <v>354</v>
      </c>
      <c r="H73" s="2" t="s">
        <v>390</v>
      </c>
      <c r="I73" s="2" t="s">
        <v>437</v>
      </c>
      <c r="J73" s="2" t="s">
        <v>392</v>
      </c>
      <c r="K73" s="1">
        <v>1</v>
      </c>
      <c r="L73" s="1">
        <v>579.29999999999995</v>
      </c>
    </row>
    <row r="74" spans="1:12" x14ac:dyDescent="0.15">
      <c r="A74" s="2" t="s">
        <v>189</v>
      </c>
      <c r="B74" s="2" t="s">
        <v>210</v>
      </c>
      <c r="C74" s="2" t="s">
        <v>436</v>
      </c>
      <c r="D74" s="2" t="s">
        <v>387</v>
      </c>
      <c r="E74" s="2" t="s">
        <v>388</v>
      </c>
      <c r="F74" s="2" t="s">
        <v>400</v>
      </c>
      <c r="G74" s="2" t="s">
        <v>354</v>
      </c>
      <c r="H74" s="2" t="s">
        <v>390</v>
      </c>
      <c r="I74" s="2" t="s">
        <v>431</v>
      </c>
      <c r="J74" s="2" t="s">
        <v>392</v>
      </c>
      <c r="K74" s="1">
        <v>2</v>
      </c>
      <c r="L74" s="1">
        <v>1477.06</v>
      </c>
    </row>
    <row r="75" spans="1:12" x14ac:dyDescent="0.15">
      <c r="A75" s="2" t="s">
        <v>189</v>
      </c>
      <c r="B75" s="2" t="s">
        <v>204</v>
      </c>
      <c r="C75" s="2" t="s">
        <v>438</v>
      </c>
      <c r="D75" s="2" t="s">
        <v>387</v>
      </c>
      <c r="E75" s="2" t="s">
        <v>388</v>
      </c>
      <c r="F75" s="2" t="s">
        <v>389</v>
      </c>
      <c r="G75" s="2" t="s">
        <v>353</v>
      </c>
      <c r="H75" s="2" t="s">
        <v>390</v>
      </c>
      <c r="I75" s="2" t="s">
        <v>398</v>
      </c>
      <c r="J75" s="2" t="s">
        <v>392</v>
      </c>
      <c r="K75" s="1">
        <v>1</v>
      </c>
      <c r="L75" s="1">
        <v>579.30999999999995</v>
      </c>
    </row>
    <row r="76" spans="1:12" x14ac:dyDescent="0.15">
      <c r="A76" s="2" t="s">
        <v>189</v>
      </c>
      <c r="B76" s="2" t="s">
        <v>204</v>
      </c>
      <c r="C76" s="2" t="s">
        <v>438</v>
      </c>
      <c r="D76" s="2" t="s">
        <v>387</v>
      </c>
      <c r="E76" s="2" t="s">
        <v>388</v>
      </c>
      <c r="F76" s="2" t="s">
        <v>400</v>
      </c>
      <c r="G76" s="2" t="s">
        <v>354</v>
      </c>
      <c r="H76" s="2" t="s">
        <v>390</v>
      </c>
      <c r="I76" s="2" t="s">
        <v>432</v>
      </c>
      <c r="J76" s="2" t="s">
        <v>392</v>
      </c>
      <c r="K76" s="1">
        <v>1</v>
      </c>
      <c r="L76" s="1">
        <v>588.4</v>
      </c>
    </row>
    <row r="77" spans="1:12" x14ac:dyDescent="0.15">
      <c r="A77" s="2" t="s">
        <v>189</v>
      </c>
      <c r="B77" s="2" t="s">
        <v>192</v>
      </c>
      <c r="C77" s="2" t="s">
        <v>439</v>
      </c>
      <c r="D77" s="2" t="s">
        <v>387</v>
      </c>
      <c r="E77" s="2" t="s">
        <v>388</v>
      </c>
      <c r="F77" s="2" t="s">
        <v>400</v>
      </c>
      <c r="G77" s="2" t="s">
        <v>354</v>
      </c>
      <c r="H77" s="2" t="s">
        <v>390</v>
      </c>
      <c r="I77" s="2" t="s">
        <v>406</v>
      </c>
      <c r="J77" s="2" t="s">
        <v>392</v>
      </c>
      <c r="K77" s="1">
        <v>1</v>
      </c>
      <c r="L77" s="1">
        <v>529.29999999999995</v>
      </c>
    </row>
    <row r="78" spans="1:12" x14ac:dyDescent="0.15">
      <c r="A78" s="2" t="s">
        <v>189</v>
      </c>
      <c r="B78" s="2" t="s">
        <v>192</v>
      </c>
      <c r="C78" s="2" t="s">
        <v>439</v>
      </c>
      <c r="D78" s="2" t="s">
        <v>387</v>
      </c>
      <c r="E78" s="2" t="s">
        <v>388</v>
      </c>
      <c r="F78" s="2" t="s">
        <v>400</v>
      </c>
      <c r="G78" s="2" t="s">
        <v>354</v>
      </c>
      <c r="H78" s="2" t="s">
        <v>390</v>
      </c>
      <c r="I78" s="2" t="s">
        <v>407</v>
      </c>
      <c r="J78" s="2" t="s">
        <v>392</v>
      </c>
      <c r="K78" s="1">
        <v>1</v>
      </c>
      <c r="L78" s="1">
        <v>579.29999999999995</v>
      </c>
    </row>
    <row r="79" spans="1:12" x14ac:dyDescent="0.15">
      <c r="A79" s="2" t="s">
        <v>189</v>
      </c>
      <c r="B79" s="2" t="s">
        <v>192</v>
      </c>
      <c r="C79" s="2" t="s">
        <v>439</v>
      </c>
      <c r="D79" s="2" t="s">
        <v>387</v>
      </c>
      <c r="E79" s="2" t="s">
        <v>388</v>
      </c>
      <c r="F79" s="2" t="s">
        <v>400</v>
      </c>
      <c r="G79" s="2" t="s">
        <v>354</v>
      </c>
      <c r="H79" s="2" t="s">
        <v>390</v>
      </c>
      <c r="I79" s="2" t="s">
        <v>398</v>
      </c>
      <c r="J79" s="2" t="s">
        <v>392</v>
      </c>
      <c r="K79" s="1">
        <v>1</v>
      </c>
      <c r="L79" s="1">
        <v>629.29999999999995</v>
      </c>
    </row>
    <row r="80" spans="1:12" x14ac:dyDescent="0.15">
      <c r="A80" s="2" t="s">
        <v>189</v>
      </c>
      <c r="B80" s="2" t="s">
        <v>192</v>
      </c>
      <c r="C80" s="2" t="s">
        <v>439</v>
      </c>
      <c r="D80" s="2" t="s">
        <v>387</v>
      </c>
      <c r="E80" s="2" t="s">
        <v>388</v>
      </c>
      <c r="F80" s="2" t="s">
        <v>400</v>
      </c>
      <c r="G80" s="2" t="s">
        <v>354</v>
      </c>
      <c r="H80" s="2" t="s">
        <v>390</v>
      </c>
      <c r="I80" s="2" t="s">
        <v>524</v>
      </c>
      <c r="J80" s="2" t="s">
        <v>392</v>
      </c>
      <c r="K80" s="1">
        <v>-1</v>
      </c>
      <c r="L80" s="1">
        <v>-629.29999999999995</v>
      </c>
    </row>
    <row r="81" spans="1:12" x14ac:dyDescent="0.15">
      <c r="A81" s="2" t="s">
        <v>189</v>
      </c>
      <c r="B81" s="2" t="s">
        <v>192</v>
      </c>
      <c r="C81" s="2" t="s">
        <v>439</v>
      </c>
      <c r="D81" s="2" t="s">
        <v>387</v>
      </c>
      <c r="E81" s="2" t="s">
        <v>388</v>
      </c>
      <c r="F81" s="2" t="s">
        <v>397</v>
      </c>
      <c r="G81" s="2" t="s">
        <v>355</v>
      </c>
      <c r="H81" s="2" t="s">
        <v>390</v>
      </c>
      <c r="I81" s="2" t="s">
        <v>391</v>
      </c>
      <c r="J81" s="2" t="s">
        <v>392</v>
      </c>
      <c r="K81" s="1">
        <v>1</v>
      </c>
      <c r="L81" s="1">
        <v>543.89</v>
      </c>
    </row>
    <row r="82" spans="1:12" x14ac:dyDescent="0.15">
      <c r="A82" s="2" t="s">
        <v>189</v>
      </c>
      <c r="B82" s="2" t="s">
        <v>192</v>
      </c>
      <c r="C82" s="2" t="s">
        <v>439</v>
      </c>
      <c r="D82" s="2" t="s">
        <v>387</v>
      </c>
      <c r="E82" s="2" t="s">
        <v>388</v>
      </c>
      <c r="F82" s="2" t="s">
        <v>397</v>
      </c>
      <c r="G82" s="2" t="s">
        <v>355</v>
      </c>
      <c r="H82" s="2" t="s">
        <v>390</v>
      </c>
      <c r="I82" s="2" t="s">
        <v>394</v>
      </c>
      <c r="J82" s="2" t="s">
        <v>392</v>
      </c>
      <c r="K82" s="1">
        <v>1</v>
      </c>
      <c r="L82" s="1">
        <v>570.96</v>
      </c>
    </row>
    <row r="83" spans="1:12" x14ac:dyDescent="0.15">
      <c r="A83" s="2" t="s">
        <v>189</v>
      </c>
      <c r="B83" s="2" t="s">
        <v>364</v>
      </c>
      <c r="C83" s="2" t="s">
        <v>440</v>
      </c>
      <c r="D83" s="2" t="s">
        <v>387</v>
      </c>
      <c r="E83" s="2" t="s">
        <v>388</v>
      </c>
      <c r="F83" s="2" t="s">
        <v>389</v>
      </c>
      <c r="G83" s="2" t="s">
        <v>353</v>
      </c>
      <c r="H83" s="2" t="s">
        <v>390</v>
      </c>
      <c r="I83" s="2" t="s">
        <v>406</v>
      </c>
      <c r="J83" s="2" t="s">
        <v>392</v>
      </c>
      <c r="K83" s="1">
        <v>1</v>
      </c>
      <c r="L83" s="1">
        <v>629.29999999999995</v>
      </c>
    </row>
    <row r="84" spans="1:12" x14ac:dyDescent="0.15">
      <c r="A84" s="2" t="s">
        <v>189</v>
      </c>
      <c r="B84" s="2" t="s">
        <v>364</v>
      </c>
      <c r="C84" s="2" t="s">
        <v>440</v>
      </c>
      <c r="D84" s="2" t="s">
        <v>387</v>
      </c>
      <c r="E84" s="2" t="s">
        <v>388</v>
      </c>
      <c r="F84" s="2" t="s">
        <v>400</v>
      </c>
      <c r="G84" s="2" t="s">
        <v>354</v>
      </c>
      <c r="H84" s="2" t="s">
        <v>390</v>
      </c>
      <c r="I84" s="2" t="s">
        <v>409</v>
      </c>
      <c r="J84" s="2" t="s">
        <v>392</v>
      </c>
      <c r="K84" s="1">
        <v>2</v>
      </c>
      <c r="L84" s="1">
        <v>1214.69</v>
      </c>
    </row>
    <row r="85" spans="1:12" x14ac:dyDescent="0.15">
      <c r="A85" s="2" t="s">
        <v>189</v>
      </c>
      <c r="B85" s="2" t="s">
        <v>344</v>
      </c>
      <c r="C85" s="2" t="s">
        <v>441</v>
      </c>
      <c r="D85" s="2" t="s">
        <v>387</v>
      </c>
      <c r="E85" s="2" t="s">
        <v>388</v>
      </c>
      <c r="F85" s="2" t="s">
        <v>400</v>
      </c>
      <c r="G85" s="2" t="s">
        <v>354</v>
      </c>
      <c r="H85" s="2" t="s">
        <v>390</v>
      </c>
      <c r="I85" s="2" t="s">
        <v>391</v>
      </c>
      <c r="J85" s="2" t="s">
        <v>392</v>
      </c>
      <c r="K85" s="1">
        <v>1</v>
      </c>
      <c r="L85" s="1">
        <v>629.29999999999995</v>
      </c>
    </row>
    <row r="86" spans="1:12" x14ac:dyDescent="0.15">
      <c r="A86" s="2" t="s">
        <v>189</v>
      </c>
      <c r="B86" s="2" t="s">
        <v>344</v>
      </c>
      <c r="C86" s="2" t="s">
        <v>441</v>
      </c>
      <c r="D86" s="2" t="s">
        <v>387</v>
      </c>
      <c r="E86" s="2" t="s">
        <v>388</v>
      </c>
      <c r="F86" s="2" t="s">
        <v>400</v>
      </c>
      <c r="G86" s="2" t="s">
        <v>354</v>
      </c>
      <c r="H86" s="2" t="s">
        <v>390</v>
      </c>
      <c r="I86" s="2" t="s">
        <v>524</v>
      </c>
      <c r="J86" s="2" t="s">
        <v>392</v>
      </c>
      <c r="K86" s="1">
        <v>1</v>
      </c>
      <c r="L86" s="1">
        <v>41.58</v>
      </c>
    </row>
    <row r="87" spans="1:12" x14ac:dyDescent="0.15">
      <c r="A87" s="2" t="s">
        <v>189</v>
      </c>
      <c r="B87" s="2" t="s">
        <v>365</v>
      </c>
      <c r="C87" s="2" t="s">
        <v>442</v>
      </c>
      <c r="D87" s="2" t="s">
        <v>387</v>
      </c>
      <c r="E87" s="2" t="s">
        <v>388</v>
      </c>
      <c r="F87" s="2" t="s">
        <v>389</v>
      </c>
      <c r="G87" s="2" t="s">
        <v>353</v>
      </c>
      <c r="H87" s="2" t="s">
        <v>390</v>
      </c>
      <c r="I87" s="2" t="s">
        <v>401</v>
      </c>
      <c r="J87" s="2" t="s">
        <v>392</v>
      </c>
      <c r="K87" s="1">
        <v>1</v>
      </c>
      <c r="L87" s="1">
        <v>571.5</v>
      </c>
    </row>
    <row r="88" spans="1:12" x14ac:dyDescent="0.15">
      <c r="A88" s="2" t="s">
        <v>189</v>
      </c>
      <c r="B88" s="2" t="s">
        <v>366</v>
      </c>
      <c r="C88" s="2" t="s">
        <v>443</v>
      </c>
      <c r="D88" s="2" t="s">
        <v>387</v>
      </c>
      <c r="E88" s="2" t="s">
        <v>388</v>
      </c>
      <c r="F88" s="2" t="s">
        <v>400</v>
      </c>
      <c r="G88" s="2" t="s">
        <v>354</v>
      </c>
      <c r="H88" s="2" t="s">
        <v>390</v>
      </c>
      <c r="I88" s="2" t="s">
        <v>394</v>
      </c>
      <c r="J88" s="2" t="s">
        <v>392</v>
      </c>
      <c r="K88" s="1">
        <v>1</v>
      </c>
      <c r="L88" s="1">
        <v>550</v>
      </c>
    </row>
    <row r="89" spans="1:12" x14ac:dyDescent="0.15">
      <c r="A89" s="2" t="s">
        <v>189</v>
      </c>
      <c r="B89" s="2" t="s">
        <v>366</v>
      </c>
      <c r="C89" s="2" t="s">
        <v>443</v>
      </c>
      <c r="D89" s="2" t="s">
        <v>387</v>
      </c>
      <c r="E89" s="2" t="s">
        <v>388</v>
      </c>
      <c r="F89" s="2" t="s">
        <v>397</v>
      </c>
      <c r="G89" s="2" t="s">
        <v>355</v>
      </c>
      <c r="H89" s="2" t="s">
        <v>390</v>
      </c>
      <c r="I89" s="2" t="s">
        <v>394</v>
      </c>
      <c r="J89" s="2" t="s">
        <v>392</v>
      </c>
      <c r="K89" s="1">
        <v>1</v>
      </c>
      <c r="L89" s="1">
        <v>550.01</v>
      </c>
    </row>
    <row r="90" spans="1:12" x14ac:dyDescent="0.15">
      <c r="A90" s="2" t="s">
        <v>189</v>
      </c>
      <c r="B90" s="2" t="s">
        <v>206</v>
      </c>
      <c r="C90" s="2" t="s">
        <v>444</v>
      </c>
      <c r="D90" s="2" t="s">
        <v>387</v>
      </c>
      <c r="E90" s="2" t="s">
        <v>388</v>
      </c>
      <c r="F90" s="2" t="s">
        <v>389</v>
      </c>
      <c r="G90" s="2" t="s">
        <v>353</v>
      </c>
      <c r="H90" s="2" t="s">
        <v>390</v>
      </c>
      <c r="I90" s="2" t="s">
        <v>524</v>
      </c>
      <c r="J90" s="2" t="s">
        <v>392</v>
      </c>
      <c r="K90" s="1">
        <v>1</v>
      </c>
      <c r="L90" s="1">
        <v>579.29999999999995</v>
      </c>
    </row>
    <row r="91" spans="1:12" x14ac:dyDescent="0.15">
      <c r="A91" s="2" t="s">
        <v>189</v>
      </c>
      <c r="B91" s="2" t="s">
        <v>206</v>
      </c>
      <c r="C91" s="2" t="s">
        <v>444</v>
      </c>
      <c r="D91" s="2" t="s">
        <v>387</v>
      </c>
      <c r="E91" s="2" t="s">
        <v>388</v>
      </c>
      <c r="F91" s="2" t="s">
        <v>400</v>
      </c>
      <c r="G91" s="2" t="s">
        <v>354</v>
      </c>
      <c r="H91" s="2" t="s">
        <v>390</v>
      </c>
      <c r="I91" s="2" t="s">
        <v>403</v>
      </c>
      <c r="J91" s="2" t="s">
        <v>392</v>
      </c>
      <c r="K91" s="1">
        <v>1</v>
      </c>
      <c r="L91" s="1">
        <v>567.35</v>
      </c>
    </row>
    <row r="92" spans="1:12" x14ac:dyDescent="0.15">
      <c r="A92" s="2" t="s">
        <v>189</v>
      </c>
      <c r="B92" s="2" t="s">
        <v>208</v>
      </c>
      <c r="C92" s="2" t="s">
        <v>445</v>
      </c>
      <c r="D92" s="2" t="s">
        <v>387</v>
      </c>
      <c r="E92" s="2" t="s">
        <v>388</v>
      </c>
      <c r="F92" s="2" t="s">
        <v>389</v>
      </c>
      <c r="G92" s="2" t="s">
        <v>353</v>
      </c>
      <c r="H92" s="2" t="s">
        <v>390</v>
      </c>
      <c r="I92" s="2" t="s">
        <v>437</v>
      </c>
      <c r="J92" s="2" t="s">
        <v>392</v>
      </c>
      <c r="K92" s="1">
        <v>1</v>
      </c>
      <c r="L92" s="1">
        <v>629.29999999999995</v>
      </c>
    </row>
    <row r="93" spans="1:12" x14ac:dyDescent="0.15">
      <c r="A93" s="2" t="s">
        <v>189</v>
      </c>
      <c r="B93" s="2" t="s">
        <v>208</v>
      </c>
      <c r="C93" s="2" t="s">
        <v>445</v>
      </c>
      <c r="D93" s="2" t="s">
        <v>387</v>
      </c>
      <c r="E93" s="2" t="s">
        <v>388</v>
      </c>
      <c r="F93" s="2" t="s">
        <v>389</v>
      </c>
      <c r="G93" s="2" t="s">
        <v>353</v>
      </c>
      <c r="H93" s="2" t="s">
        <v>390</v>
      </c>
      <c r="I93" s="2" t="s">
        <v>393</v>
      </c>
      <c r="J93" s="2" t="s">
        <v>392</v>
      </c>
      <c r="K93" s="1">
        <v>1</v>
      </c>
      <c r="L93" s="1">
        <v>483.36</v>
      </c>
    </row>
    <row r="94" spans="1:12" x14ac:dyDescent="0.15">
      <c r="A94" s="2" t="s">
        <v>189</v>
      </c>
      <c r="B94" s="2" t="s">
        <v>208</v>
      </c>
      <c r="C94" s="2" t="s">
        <v>445</v>
      </c>
      <c r="D94" s="2" t="s">
        <v>387</v>
      </c>
      <c r="E94" s="2" t="s">
        <v>388</v>
      </c>
      <c r="F94" s="2" t="s">
        <v>400</v>
      </c>
      <c r="G94" s="2" t="s">
        <v>354</v>
      </c>
      <c r="H94" s="2" t="s">
        <v>390</v>
      </c>
      <c r="I94" s="2" t="s">
        <v>411</v>
      </c>
      <c r="J94" s="2" t="s">
        <v>392</v>
      </c>
      <c r="K94" s="1">
        <v>1</v>
      </c>
      <c r="L94" s="1">
        <v>579.29999999999995</v>
      </c>
    </row>
    <row r="95" spans="1:12" x14ac:dyDescent="0.15">
      <c r="A95" s="2" t="s">
        <v>189</v>
      </c>
      <c r="B95" s="2" t="s">
        <v>208</v>
      </c>
      <c r="C95" s="2" t="s">
        <v>445</v>
      </c>
      <c r="D95" s="2" t="s">
        <v>387</v>
      </c>
      <c r="E95" s="2" t="s">
        <v>388</v>
      </c>
      <c r="F95" s="2" t="s">
        <v>400</v>
      </c>
      <c r="G95" s="2" t="s">
        <v>354</v>
      </c>
      <c r="H95" s="2" t="s">
        <v>390</v>
      </c>
      <c r="I95" s="2" t="s">
        <v>394</v>
      </c>
      <c r="J95" s="2" t="s">
        <v>392</v>
      </c>
      <c r="K95" s="1">
        <v>1</v>
      </c>
      <c r="L95" s="1">
        <v>582.64</v>
      </c>
    </row>
    <row r="96" spans="1:12" x14ac:dyDescent="0.15">
      <c r="A96" s="2" t="s">
        <v>189</v>
      </c>
      <c r="B96" s="2" t="s">
        <v>208</v>
      </c>
      <c r="C96" s="2" t="s">
        <v>445</v>
      </c>
      <c r="D96" s="2" t="s">
        <v>387</v>
      </c>
      <c r="E96" s="2" t="s">
        <v>388</v>
      </c>
      <c r="F96" s="2" t="s">
        <v>397</v>
      </c>
      <c r="G96" s="2" t="s">
        <v>355</v>
      </c>
      <c r="H96" s="2" t="s">
        <v>390</v>
      </c>
      <c r="I96" s="2" t="s">
        <v>446</v>
      </c>
      <c r="J96" s="2" t="s">
        <v>392</v>
      </c>
      <c r="K96" s="1">
        <v>1</v>
      </c>
      <c r="L96" s="1">
        <v>600.28</v>
      </c>
    </row>
    <row r="97" spans="1:12" x14ac:dyDescent="0.15">
      <c r="A97" s="2" t="s">
        <v>189</v>
      </c>
      <c r="B97" s="2" t="s">
        <v>208</v>
      </c>
      <c r="C97" s="2" t="s">
        <v>445</v>
      </c>
      <c r="D97" s="2" t="s">
        <v>387</v>
      </c>
      <c r="E97" s="2" t="s">
        <v>388</v>
      </c>
      <c r="F97" s="2" t="s">
        <v>397</v>
      </c>
      <c r="G97" s="2" t="s">
        <v>355</v>
      </c>
      <c r="H97" s="2" t="s">
        <v>390</v>
      </c>
      <c r="I97" s="2" t="s">
        <v>402</v>
      </c>
      <c r="J97" s="2" t="s">
        <v>392</v>
      </c>
      <c r="K97" s="1">
        <v>1</v>
      </c>
      <c r="L97" s="1">
        <v>599.29999999999995</v>
      </c>
    </row>
    <row r="98" spans="1:12" x14ac:dyDescent="0.15">
      <c r="A98" s="2" t="s">
        <v>245</v>
      </c>
      <c r="B98" s="2" t="s">
        <v>254</v>
      </c>
      <c r="C98" s="2" t="s">
        <v>447</v>
      </c>
      <c r="D98" s="2" t="s">
        <v>387</v>
      </c>
      <c r="E98" s="2" t="s">
        <v>388</v>
      </c>
      <c r="F98" s="2" t="s">
        <v>389</v>
      </c>
      <c r="G98" s="2" t="s">
        <v>353</v>
      </c>
      <c r="H98" s="2" t="s">
        <v>390</v>
      </c>
      <c r="I98" s="2" t="s">
        <v>393</v>
      </c>
      <c r="J98" s="2" t="s">
        <v>392</v>
      </c>
      <c r="K98" s="1">
        <v>1</v>
      </c>
      <c r="L98" s="1">
        <v>629.29999999999995</v>
      </c>
    </row>
    <row r="99" spans="1:12" x14ac:dyDescent="0.15">
      <c r="A99" s="2" t="s">
        <v>245</v>
      </c>
      <c r="B99" s="2" t="s">
        <v>254</v>
      </c>
      <c r="C99" s="2" t="s">
        <v>447</v>
      </c>
      <c r="D99" s="2" t="s">
        <v>387</v>
      </c>
      <c r="E99" s="2" t="s">
        <v>388</v>
      </c>
      <c r="F99" s="2" t="s">
        <v>400</v>
      </c>
      <c r="G99" s="2" t="s">
        <v>354</v>
      </c>
      <c r="H99" s="2" t="s">
        <v>390</v>
      </c>
      <c r="I99" s="2" t="s">
        <v>401</v>
      </c>
      <c r="J99" s="2" t="s">
        <v>392</v>
      </c>
      <c r="K99" s="1">
        <v>1</v>
      </c>
      <c r="L99" s="1">
        <v>629.29999999999995</v>
      </c>
    </row>
    <row r="100" spans="1:12" x14ac:dyDescent="0.15">
      <c r="A100" s="2" t="s">
        <v>245</v>
      </c>
      <c r="B100" s="2" t="s">
        <v>252</v>
      </c>
      <c r="C100" s="2" t="s">
        <v>448</v>
      </c>
      <c r="D100" s="2" t="s">
        <v>387</v>
      </c>
      <c r="E100" s="2" t="s">
        <v>388</v>
      </c>
      <c r="F100" s="2" t="s">
        <v>389</v>
      </c>
      <c r="G100" s="2" t="s">
        <v>353</v>
      </c>
      <c r="H100" s="2" t="s">
        <v>390</v>
      </c>
      <c r="I100" s="2" t="s">
        <v>432</v>
      </c>
      <c r="J100" s="2" t="s">
        <v>392</v>
      </c>
      <c r="K100" s="1">
        <v>1</v>
      </c>
      <c r="L100" s="1">
        <v>629.29999999999995</v>
      </c>
    </row>
    <row r="101" spans="1:12" x14ac:dyDescent="0.15">
      <c r="A101" s="2" t="s">
        <v>245</v>
      </c>
      <c r="B101" s="2" t="s">
        <v>371</v>
      </c>
      <c r="C101" s="2" t="s">
        <v>449</v>
      </c>
      <c r="D101" s="2" t="s">
        <v>387</v>
      </c>
      <c r="E101" s="2" t="s">
        <v>388</v>
      </c>
      <c r="F101" s="2" t="s">
        <v>389</v>
      </c>
      <c r="G101" s="2" t="s">
        <v>353</v>
      </c>
      <c r="H101" s="2" t="s">
        <v>390</v>
      </c>
      <c r="I101" s="2" t="s">
        <v>420</v>
      </c>
      <c r="J101" s="2" t="s">
        <v>392</v>
      </c>
      <c r="K101" s="1">
        <v>1</v>
      </c>
      <c r="L101" s="1">
        <v>509.3</v>
      </c>
    </row>
    <row r="102" spans="1:12" x14ac:dyDescent="0.15">
      <c r="A102" s="2" t="s">
        <v>174</v>
      </c>
      <c r="B102" s="2" t="s">
        <v>183</v>
      </c>
      <c r="C102" s="2" t="s">
        <v>525</v>
      </c>
      <c r="D102" s="2" t="s">
        <v>387</v>
      </c>
      <c r="E102" s="2" t="s">
        <v>388</v>
      </c>
      <c r="F102" s="2" t="s">
        <v>399</v>
      </c>
      <c r="G102" s="2" t="s">
        <v>352</v>
      </c>
      <c r="H102" s="2" t="s">
        <v>390</v>
      </c>
      <c r="I102" s="2" t="s">
        <v>524</v>
      </c>
      <c r="J102" s="2" t="s">
        <v>392</v>
      </c>
      <c r="K102" s="1">
        <v>0</v>
      </c>
      <c r="L102" s="1">
        <v>0</v>
      </c>
    </row>
    <row r="103" spans="1:12" x14ac:dyDescent="0.15">
      <c r="A103" s="2" t="s">
        <v>174</v>
      </c>
      <c r="B103" s="2" t="s">
        <v>183</v>
      </c>
      <c r="C103" s="2" t="s">
        <v>525</v>
      </c>
      <c r="D103" s="2" t="s">
        <v>387</v>
      </c>
      <c r="E103" s="2" t="s">
        <v>388</v>
      </c>
      <c r="F103" s="2" t="s">
        <v>400</v>
      </c>
      <c r="G103" s="2" t="s">
        <v>354</v>
      </c>
      <c r="H103" s="2" t="s">
        <v>390</v>
      </c>
      <c r="I103" s="2" t="s">
        <v>524</v>
      </c>
      <c r="J103" s="2" t="s">
        <v>392</v>
      </c>
      <c r="K103" s="1">
        <v>1</v>
      </c>
      <c r="L103" s="1">
        <v>833.78</v>
      </c>
    </row>
    <row r="104" spans="1:12" x14ac:dyDescent="0.15">
      <c r="A104" s="2" t="s">
        <v>174</v>
      </c>
      <c r="B104" s="2" t="s">
        <v>187</v>
      </c>
      <c r="C104" s="2" t="s">
        <v>450</v>
      </c>
      <c r="D104" s="2" t="s">
        <v>387</v>
      </c>
      <c r="E104" s="2" t="s">
        <v>388</v>
      </c>
      <c r="F104" s="2" t="s">
        <v>399</v>
      </c>
      <c r="G104" s="2" t="s">
        <v>352</v>
      </c>
      <c r="H104" s="2" t="s">
        <v>390</v>
      </c>
      <c r="I104" s="2" t="s">
        <v>391</v>
      </c>
      <c r="J104" s="2" t="s">
        <v>392</v>
      </c>
      <c r="K104" s="1">
        <v>1</v>
      </c>
      <c r="L104" s="1">
        <v>899</v>
      </c>
    </row>
    <row r="105" spans="1:12" x14ac:dyDescent="0.15">
      <c r="A105" s="2" t="s">
        <v>174</v>
      </c>
      <c r="B105" s="2" t="s">
        <v>187</v>
      </c>
      <c r="C105" s="2" t="s">
        <v>450</v>
      </c>
      <c r="D105" s="2" t="s">
        <v>387</v>
      </c>
      <c r="E105" s="2" t="s">
        <v>388</v>
      </c>
      <c r="F105" s="2" t="s">
        <v>400</v>
      </c>
      <c r="G105" s="2" t="s">
        <v>354</v>
      </c>
      <c r="H105" s="2" t="s">
        <v>390</v>
      </c>
      <c r="I105" s="2" t="s">
        <v>393</v>
      </c>
      <c r="J105" s="2" t="s">
        <v>392</v>
      </c>
      <c r="K105" s="1">
        <v>1</v>
      </c>
      <c r="L105" s="1">
        <v>561.79</v>
      </c>
    </row>
    <row r="106" spans="1:12" x14ac:dyDescent="0.15">
      <c r="A106" s="2" t="s">
        <v>174</v>
      </c>
      <c r="B106" s="2" t="s">
        <v>187</v>
      </c>
      <c r="C106" s="2" t="s">
        <v>450</v>
      </c>
      <c r="D106" s="2" t="s">
        <v>387</v>
      </c>
      <c r="E106" s="2" t="s">
        <v>388</v>
      </c>
      <c r="F106" s="2" t="s">
        <v>397</v>
      </c>
      <c r="G106" s="2" t="s">
        <v>355</v>
      </c>
      <c r="H106" s="2" t="s">
        <v>390</v>
      </c>
      <c r="I106" s="2" t="s">
        <v>391</v>
      </c>
      <c r="J106" s="2" t="s">
        <v>392</v>
      </c>
      <c r="K106" s="1">
        <v>-1</v>
      </c>
      <c r="L106" s="1">
        <v>-899</v>
      </c>
    </row>
    <row r="107" spans="1:12" x14ac:dyDescent="0.15">
      <c r="A107" s="2" t="s">
        <v>174</v>
      </c>
      <c r="B107" s="2" t="s">
        <v>187</v>
      </c>
      <c r="C107" s="2" t="s">
        <v>450</v>
      </c>
      <c r="D107" s="2" t="s">
        <v>387</v>
      </c>
      <c r="E107" s="2" t="s">
        <v>388</v>
      </c>
      <c r="F107" s="2" t="s">
        <v>397</v>
      </c>
      <c r="G107" s="2" t="s">
        <v>355</v>
      </c>
      <c r="H107" s="2" t="s">
        <v>390</v>
      </c>
      <c r="I107" s="2" t="s">
        <v>431</v>
      </c>
      <c r="J107" s="2" t="s">
        <v>392</v>
      </c>
      <c r="K107" s="1">
        <v>1</v>
      </c>
      <c r="L107" s="1">
        <v>509.3</v>
      </c>
    </row>
    <row r="108" spans="1:12" x14ac:dyDescent="0.15">
      <c r="A108" s="2" t="s">
        <v>174</v>
      </c>
      <c r="B108" s="2" t="s">
        <v>360</v>
      </c>
      <c r="C108" s="2" t="s">
        <v>451</v>
      </c>
      <c r="D108" s="2" t="s">
        <v>387</v>
      </c>
      <c r="E108" s="2" t="s">
        <v>388</v>
      </c>
      <c r="F108" s="2" t="s">
        <v>389</v>
      </c>
      <c r="G108" s="2" t="s">
        <v>353</v>
      </c>
      <c r="H108" s="2" t="s">
        <v>390</v>
      </c>
      <c r="I108" s="2" t="s">
        <v>393</v>
      </c>
      <c r="J108" s="2" t="s">
        <v>392</v>
      </c>
      <c r="K108" s="1">
        <v>1</v>
      </c>
      <c r="L108" s="1">
        <v>578.5</v>
      </c>
    </row>
    <row r="109" spans="1:12" x14ac:dyDescent="0.15">
      <c r="A109" s="2" t="s">
        <v>174</v>
      </c>
      <c r="B109" s="2" t="s">
        <v>368</v>
      </c>
      <c r="C109" s="2" t="s">
        <v>452</v>
      </c>
      <c r="D109" s="2" t="s">
        <v>387</v>
      </c>
      <c r="E109" s="2" t="s">
        <v>388</v>
      </c>
      <c r="F109" s="2" t="s">
        <v>397</v>
      </c>
      <c r="G109" s="2" t="s">
        <v>355</v>
      </c>
      <c r="H109" s="2" t="s">
        <v>390</v>
      </c>
      <c r="I109" s="2" t="s">
        <v>401</v>
      </c>
      <c r="J109" s="2" t="s">
        <v>392</v>
      </c>
      <c r="K109" s="1">
        <v>1</v>
      </c>
      <c r="L109" s="1">
        <v>588.39</v>
      </c>
    </row>
    <row r="110" spans="1:12" x14ac:dyDescent="0.15">
      <c r="A110" s="2" t="s">
        <v>174</v>
      </c>
      <c r="B110" s="2" t="s">
        <v>373</v>
      </c>
      <c r="C110" s="2" t="s">
        <v>453</v>
      </c>
      <c r="D110" s="2" t="s">
        <v>387</v>
      </c>
      <c r="E110" s="2" t="s">
        <v>388</v>
      </c>
      <c r="F110" s="2" t="s">
        <v>400</v>
      </c>
      <c r="G110" s="2" t="s">
        <v>354</v>
      </c>
      <c r="H110" s="2" t="s">
        <v>390</v>
      </c>
      <c r="I110" s="2" t="s">
        <v>414</v>
      </c>
      <c r="J110" s="2" t="s">
        <v>392</v>
      </c>
      <c r="K110" s="1">
        <v>1</v>
      </c>
      <c r="L110" s="1">
        <v>629.29999999999995</v>
      </c>
    </row>
    <row r="111" spans="1:12" x14ac:dyDescent="0.15">
      <c r="A111" s="2" t="s">
        <v>214</v>
      </c>
      <c r="B111" s="2" t="s">
        <v>241</v>
      </c>
      <c r="C111" s="2" t="s">
        <v>454</v>
      </c>
      <c r="D111" s="2" t="s">
        <v>387</v>
      </c>
      <c r="E111" s="2" t="s">
        <v>388</v>
      </c>
      <c r="F111" s="2" t="s">
        <v>399</v>
      </c>
      <c r="G111" s="2" t="s">
        <v>352</v>
      </c>
      <c r="H111" s="2" t="s">
        <v>390</v>
      </c>
      <c r="I111" s="2" t="s">
        <v>409</v>
      </c>
      <c r="J111" s="2" t="s">
        <v>392</v>
      </c>
      <c r="K111" s="1">
        <v>1</v>
      </c>
      <c r="L111" s="1">
        <v>899</v>
      </c>
    </row>
    <row r="112" spans="1:12" x14ac:dyDescent="0.15">
      <c r="A112" s="2" t="s">
        <v>214</v>
      </c>
      <c r="B112" s="2" t="s">
        <v>241</v>
      </c>
      <c r="C112" s="2" t="s">
        <v>454</v>
      </c>
      <c r="D112" s="2" t="s">
        <v>387</v>
      </c>
      <c r="E112" s="2" t="s">
        <v>388</v>
      </c>
      <c r="F112" s="2" t="s">
        <v>389</v>
      </c>
      <c r="G112" s="2" t="s">
        <v>353</v>
      </c>
      <c r="H112" s="2" t="s">
        <v>390</v>
      </c>
      <c r="I112" s="2" t="s">
        <v>455</v>
      </c>
      <c r="J112" s="2" t="s">
        <v>392</v>
      </c>
      <c r="K112" s="1">
        <v>3</v>
      </c>
      <c r="L112" s="1">
        <v>2277.88</v>
      </c>
    </row>
    <row r="113" spans="1:12" x14ac:dyDescent="0.15">
      <c r="A113" s="2" t="s">
        <v>214</v>
      </c>
      <c r="B113" s="2" t="s">
        <v>241</v>
      </c>
      <c r="C113" s="2" t="s">
        <v>454</v>
      </c>
      <c r="D113" s="2" t="s">
        <v>387</v>
      </c>
      <c r="E113" s="2" t="s">
        <v>388</v>
      </c>
      <c r="F113" s="2" t="s">
        <v>389</v>
      </c>
      <c r="G113" s="2" t="s">
        <v>353</v>
      </c>
      <c r="H113" s="2" t="s">
        <v>390</v>
      </c>
      <c r="I113" s="2" t="s">
        <v>428</v>
      </c>
      <c r="J113" s="2" t="s">
        <v>392</v>
      </c>
      <c r="K113" s="1">
        <v>1</v>
      </c>
      <c r="L113" s="1">
        <v>479.3</v>
      </c>
    </row>
    <row r="114" spans="1:12" x14ac:dyDescent="0.15">
      <c r="A114" s="2" t="s">
        <v>214</v>
      </c>
      <c r="B114" s="2" t="s">
        <v>241</v>
      </c>
      <c r="C114" s="2" t="s">
        <v>454</v>
      </c>
      <c r="D114" s="2" t="s">
        <v>387</v>
      </c>
      <c r="E114" s="2" t="s">
        <v>388</v>
      </c>
      <c r="F114" s="2" t="s">
        <v>389</v>
      </c>
      <c r="G114" s="2" t="s">
        <v>353</v>
      </c>
      <c r="H114" s="2" t="s">
        <v>390</v>
      </c>
      <c r="I114" s="2" t="s">
        <v>402</v>
      </c>
      <c r="J114" s="2" t="s">
        <v>392</v>
      </c>
      <c r="K114" s="1">
        <v>1</v>
      </c>
      <c r="L114" s="1">
        <v>481.09</v>
      </c>
    </row>
    <row r="115" spans="1:12" x14ac:dyDescent="0.15">
      <c r="A115" s="2" t="s">
        <v>214</v>
      </c>
      <c r="B115" s="2" t="s">
        <v>241</v>
      </c>
      <c r="C115" s="2" t="s">
        <v>454</v>
      </c>
      <c r="D115" s="2" t="s">
        <v>387</v>
      </c>
      <c r="E115" s="2" t="s">
        <v>388</v>
      </c>
      <c r="F115" s="2" t="s">
        <v>389</v>
      </c>
      <c r="G115" s="2" t="s">
        <v>353</v>
      </c>
      <c r="H115" s="2" t="s">
        <v>390</v>
      </c>
      <c r="I115" s="2" t="s">
        <v>417</v>
      </c>
      <c r="J115" s="2" t="s">
        <v>392</v>
      </c>
      <c r="K115" s="1">
        <v>1</v>
      </c>
      <c r="L115" s="1">
        <v>506.38</v>
      </c>
    </row>
    <row r="116" spans="1:12" x14ac:dyDescent="0.15">
      <c r="A116" s="2" t="s">
        <v>214</v>
      </c>
      <c r="B116" s="2" t="s">
        <v>241</v>
      </c>
      <c r="C116" s="2" t="s">
        <v>454</v>
      </c>
      <c r="D116" s="2" t="s">
        <v>387</v>
      </c>
      <c r="E116" s="2" t="s">
        <v>388</v>
      </c>
      <c r="F116" s="2" t="s">
        <v>400</v>
      </c>
      <c r="G116" s="2" t="s">
        <v>354</v>
      </c>
      <c r="H116" s="2" t="s">
        <v>390</v>
      </c>
      <c r="I116" s="2" t="s">
        <v>455</v>
      </c>
      <c r="J116" s="2" t="s">
        <v>392</v>
      </c>
      <c r="K116" s="1">
        <v>-2</v>
      </c>
      <c r="L116" s="1">
        <v>-1798</v>
      </c>
    </row>
    <row r="117" spans="1:12" x14ac:dyDescent="0.15">
      <c r="A117" s="2" t="s">
        <v>214</v>
      </c>
      <c r="B117" s="2" t="s">
        <v>241</v>
      </c>
      <c r="C117" s="2" t="s">
        <v>454</v>
      </c>
      <c r="D117" s="2" t="s">
        <v>387</v>
      </c>
      <c r="E117" s="2" t="s">
        <v>388</v>
      </c>
      <c r="F117" s="2" t="s">
        <v>400</v>
      </c>
      <c r="G117" s="2" t="s">
        <v>354</v>
      </c>
      <c r="H117" s="2" t="s">
        <v>390</v>
      </c>
      <c r="I117" s="2" t="s">
        <v>411</v>
      </c>
      <c r="J117" s="2" t="s">
        <v>392</v>
      </c>
      <c r="K117" s="1">
        <v>3</v>
      </c>
      <c r="L117" s="1">
        <v>1887.9</v>
      </c>
    </row>
    <row r="118" spans="1:12" x14ac:dyDescent="0.15">
      <c r="A118" s="2" t="s">
        <v>214</v>
      </c>
      <c r="B118" s="2" t="s">
        <v>241</v>
      </c>
      <c r="C118" s="2" t="s">
        <v>454</v>
      </c>
      <c r="D118" s="2" t="s">
        <v>387</v>
      </c>
      <c r="E118" s="2" t="s">
        <v>388</v>
      </c>
      <c r="F118" s="2" t="s">
        <v>400</v>
      </c>
      <c r="G118" s="2" t="s">
        <v>354</v>
      </c>
      <c r="H118" s="2" t="s">
        <v>390</v>
      </c>
      <c r="I118" s="2" t="s">
        <v>409</v>
      </c>
      <c r="J118" s="2" t="s">
        <v>392</v>
      </c>
      <c r="K118" s="1">
        <v>-1</v>
      </c>
      <c r="L118" s="1">
        <v>-899</v>
      </c>
    </row>
    <row r="119" spans="1:12" x14ac:dyDescent="0.15">
      <c r="A119" s="2" t="s">
        <v>214</v>
      </c>
      <c r="B119" s="2" t="s">
        <v>241</v>
      </c>
      <c r="C119" s="2" t="s">
        <v>454</v>
      </c>
      <c r="D119" s="2" t="s">
        <v>387</v>
      </c>
      <c r="E119" s="2" t="s">
        <v>388</v>
      </c>
      <c r="F119" s="2" t="s">
        <v>400</v>
      </c>
      <c r="G119" s="2" t="s">
        <v>354</v>
      </c>
      <c r="H119" s="2" t="s">
        <v>390</v>
      </c>
      <c r="I119" s="2" t="s">
        <v>428</v>
      </c>
      <c r="J119" s="2" t="s">
        <v>392</v>
      </c>
      <c r="K119" s="1">
        <v>-2</v>
      </c>
      <c r="L119" s="1">
        <v>-1258.5999999999999</v>
      </c>
    </row>
    <row r="120" spans="1:12" x14ac:dyDescent="0.15">
      <c r="A120" s="2" t="s">
        <v>214</v>
      </c>
      <c r="B120" s="2" t="s">
        <v>241</v>
      </c>
      <c r="C120" s="2" t="s">
        <v>454</v>
      </c>
      <c r="D120" s="2" t="s">
        <v>387</v>
      </c>
      <c r="E120" s="2" t="s">
        <v>388</v>
      </c>
      <c r="F120" s="2" t="s">
        <v>400</v>
      </c>
      <c r="G120" s="2" t="s">
        <v>354</v>
      </c>
      <c r="H120" s="2" t="s">
        <v>390</v>
      </c>
      <c r="I120" s="2" t="s">
        <v>407</v>
      </c>
      <c r="J120" s="2" t="s">
        <v>392</v>
      </c>
      <c r="K120" s="1">
        <v>-1</v>
      </c>
      <c r="L120" s="1">
        <v>-629.29999999999995</v>
      </c>
    </row>
    <row r="121" spans="1:12" x14ac:dyDescent="0.15">
      <c r="A121" s="2" t="s">
        <v>214</v>
      </c>
      <c r="B121" s="2" t="s">
        <v>241</v>
      </c>
      <c r="C121" s="2" t="s">
        <v>454</v>
      </c>
      <c r="D121" s="2" t="s">
        <v>387</v>
      </c>
      <c r="E121" s="2" t="s">
        <v>388</v>
      </c>
      <c r="F121" s="2" t="s">
        <v>397</v>
      </c>
      <c r="G121" s="2" t="s">
        <v>355</v>
      </c>
      <c r="H121" s="2" t="s">
        <v>390</v>
      </c>
      <c r="I121" s="2" t="s">
        <v>401</v>
      </c>
      <c r="J121" s="2" t="s">
        <v>392</v>
      </c>
      <c r="K121" s="1">
        <v>1</v>
      </c>
      <c r="L121" s="1">
        <v>629.29999999999995</v>
      </c>
    </row>
    <row r="122" spans="1:12" x14ac:dyDescent="0.15">
      <c r="A122" s="2" t="s">
        <v>214</v>
      </c>
      <c r="B122" s="2" t="s">
        <v>241</v>
      </c>
      <c r="C122" s="2" t="s">
        <v>454</v>
      </c>
      <c r="D122" s="2" t="s">
        <v>387</v>
      </c>
      <c r="E122" s="2" t="s">
        <v>388</v>
      </c>
      <c r="F122" s="2" t="s">
        <v>397</v>
      </c>
      <c r="G122" s="2" t="s">
        <v>355</v>
      </c>
      <c r="H122" s="2" t="s">
        <v>390</v>
      </c>
      <c r="I122" s="2" t="s">
        <v>393</v>
      </c>
      <c r="J122" s="2" t="s">
        <v>392</v>
      </c>
      <c r="K122" s="1">
        <v>1</v>
      </c>
      <c r="L122" s="1">
        <v>343.66</v>
      </c>
    </row>
    <row r="123" spans="1:12" x14ac:dyDescent="0.15">
      <c r="A123" s="2" t="s">
        <v>214</v>
      </c>
      <c r="B123" s="2" t="s">
        <v>219</v>
      </c>
      <c r="C123" s="2" t="s">
        <v>456</v>
      </c>
      <c r="D123" s="2" t="s">
        <v>387</v>
      </c>
      <c r="E123" s="2" t="s">
        <v>388</v>
      </c>
      <c r="F123" s="2" t="s">
        <v>389</v>
      </c>
      <c r="G123" s="2" t="s">
        <v>353</v>
      </c>
      <c r="H123" s="2" t="s">
        <v>390</v>
      </c>
      <c r="I123" s="2" t="s">
        <v>391</v>
      </c>
      <c r="J123" s="2" t="s">
        <v>392</v>
      </c>
      <c r="K123" s="1">
        <v>1</v>
      </c>
      <c r="L123" s="1">
        <v>579.29999999999995</v>
      </c>
    </row>
    <row r="124" spans="1:12" x14ac:dyDescent="0.15">
      <c r="A124" s="2" t="s">
        <v>214</v>
      </c>
      <c r="B124" s="2" t="s">
        <v>225</v>
      </c>
      <c r="C124" s="2" t="s">
        <v>457</v>
      </c>
      <c r="D124" s="2" t="s">
        <v>387</v>
      </c>
      <c r="E124" s="2" t="s">
        <v>388</v>
      </c>
      <c r="F124" s="2" t="s">
        <v>389</v>
      </c>
      <c r="G124" s="2" t="s">
        <v>353</v>
      </c>
      <c r="H124" s="2" t="s">
        <v>390</v>
      </c>
      <c r="I124" s="2" t="s">
        <v>410</v>
      </c>
      <c r="J124" s="2" t="s">
        <v>392</v>
      </c>
      <c r="K124" s="1">
        <v>1</v>
      </c>
      <c r="L124" s="1">
        <v>177.43</v>
      </c>
    </row>
    <row r="125" spans="1:12" x14ac:dyDescent="0.15">
      <c r="A125" s="2" t="s">
        <v>214</v>
      </c>
      <c r="B125" s="2" t="s">
        <v>225</v>
      </c>
      <c r="C125" s="2" t="s">
        <v>457</v>
      </c>
      <c r="D125" s="2" t="s">
        <v>387</v>
      </c>
      <c r="E125" s="2" t="s">
        <v>388</v>
      </c>
      <c r="F125" s="2" t="s">
        <v>389</v>
      </c>
      <c r="G125" s="2" t="s">
        <v>353</v>
      </c>
      <c r="H125" s="2" t="s">
        <v>390</v>
      </c>
      <c r="I125" s="2" t="s">
        <v>446</v>
      </c>
      <c r="J125" s="2" t="s">
        <v>392</v>
      </c>
      <c r="K125" s="1">
        <v>1</v>
      </c>
      <c r="L125" s="1">
        <v>573.54999999999995</v>
      </c>
    </row>
    <row r="126" spans="1:12" x14ac:dyDescent="0.15">
      <c r="A126" s="2" t="s">
        <v>214</v>
      </c>
      <c r="B126" s="2" t="s">
        <v>225</v>
      </c>
      <c r="C126" s="2" t="s">
        <v>457</v>
      </c>
      <c r="D126" s="2" t="s">
        <v>387</v>
      </c>
      <c r="E126" s="2" t="s">
        <v>388</v>
      </c>
      <c r="F126" s="2" t="s">
        <v>400</v>
      </c>
      <c r="G126" s="2" t="s">
        <v>354</v>
      </c>
      <c r="H126" s="2" t="s">
        <v>390</v>
      </c>
      <c r="I126" s="2" t="s">
        <v>410</v>
      </c>
      <c r="J126" s="2" t="s">
        <v>392</v>
      </c>
      <c r="K126" s="1">
        <v>1</v>
      </c>
      <c r="L126" s="1">
        <v>899</v>
      </c>
    </row>
    <row r="127" spans="1:12" x14ac:dyDescent="0.15">
      <c r="A127" s="2" t="s">
        <v>214</v>
      </c>
      <c r="B127" s="2" t="s">
        <v>221</v>
      </c>
      <c r="C127" s="2" t="s">
        <v>458</v>
      </c>
      <c r="D127" s="2" t="s">
        <v>387</v>
      </c>
      <c r="E127" s="2" t="s">
        <v>388</v>
      </c>
      <c r="F127" s="2" t="s">
        <v>389</v>
      </c>
      <c r="G127" s="2" t="s">
        <v>353</v>
      </c>
      <c r="H127" s="2" t="s">
        <v>390</v>
      </c>
      <c r="I127" s="2" t="s">
        <v>455</v>
      </c>
      <c r="J127" s="2" t="s">
        <v>392</v>
      </c>
      <c r="K127" s="1">
        <v>1</v>
      </c>
      <c r="L127" s="1">
        <v>629.29999999999995</v>
      </c>
    </row>
    <row r="128" spans="1:12" x14ac:dyDescent="0.15">
      <c r="A128" s="2" t="s">
        <v>214</v>
      </c>
      <c r="B128" s="2" t="s">
        <v>221</v>
      </c>
      <c r="C128" s="2" t="s">
        <v>458</v>
      </c>
      <c r="D128" s="2" t="s">
        <v>387</v>
      </c>
      <c r="E128" s="2" t="s">
        <v>388</v>
      </c>
      <c r="F128" s="2" t="s">
        <v>389</v>
      </c>
      <c r="G128" s="2" t="s">
        <v>353</v>
      </c>
      <c r="H128" s="2" t="s">
        <v>390</v>
      </c>
      <c r="I128" s="2" t="s">
        <v>409</v>
      </c>
      <c r="J128" s="2" t="s">
        <v>392</v>
      </c>
      <c r="K128" s="1">
        <v>1</v>
      </c>
      <c r="L128" s="1">
        <v>483.36</v>
      </c>
    </row>
    <row r="129" spans="1:12" x14ac:dyDescent="0.15">
      <c r="A129" s="2" t="s">
        <v>214</v>
      </c>
      <c r="B129" s="2" t="s">
        <v>221</v>
      </c>
      <c r="C129" s="2" t="s">
        <v>458</v>
      </c>
      <c r="D129" s="2" t="s">
        <v>387</v>
      </c>
      <c r="E129" s="2" t="s">
        <v>388</v>
      </c>
      <c r="F129" s="2" t="s">
        <v>389</v>
      </c>
      <c r="G129" s="2" t="s">
        <v>353</v>
      </c>
      <c r="H129" s="2" t="s">
        <v>390</v>
      </c>
      <c r="I129" s="2" t="s">
        <v>393</v>
      </c>
      <c r="J129" s="2" t="s">
        <v>392</v>
      </c>
      <c r="K129" s="1">
        <v>1</v>
      </c>
      <c r="L129" s="1">
        <v>349.17</v>
      </c>
    </row>
    <row r="130" spans="1:12" x14ac:dyDescent="0.15">
      <c r="A130" s="2" t="s">
        <v>214</v>
      </c>
      <c r="B130" s="2" t="s">
        <v>221</v>
      </c>
      <c r="C130" s="2" t="s">
        <v>458</v>
      </c>
      <c r="D130" s="2" t="s">
        <v>387</v>
      </c>
      <c r="E130" s="2" t="s">
        <v>388</v>
      </c>
      <c r="F130" s="2" t="s">
        <v>400</v>
      </c>
      <c r="G130" s="2" t="s">
        <v>354</v>
      </c>
      <c r="H130" s="2" t="s">
        <v>390</v>
      </c>
      <c r="I130" s="2" t="s">
        <v>391</v>
      </c>
      <c r="J130" s="2" t="s">
        <v>392</v>
      </c>
      <c r="K130" s="1">
        <v>1</v>
      </c>
      <c r="L130" s="1">
        <v>482.81</v>
      </c>
    </row>
    <row r="131" spans="1:12" x14ac:dyDescent="0.15">
      <c r="A131" s="2" t="s">
        <v>214</v>
      </c>
      <c r="B131" s="2" t="s">
        <v>221</v>
      </c>
      <c r="C131" s="2" t="s">
        <v>458</v>
      </c>
      <c r="D131" s="2" t="s">
        <v>387</v>
      </c>
      <c r="E131" s="2" t="s">
        <v>388</v>
      </c>
      <c r="F131" s="2" t="s">
        <v>400</v>
      </c>
      <c r="G131" s="2" t="s">
        <v>354</v>
      </c>
      <c r="H131" s="2" t="s">
        <v>390</v>
      </c>
      <c r="I131" s="2" t="s">
        <v>413</v>
      </c>
      <c r="J131" s="2" t="s">
        <v>392</v>
      </c>
      <c r="K131" s="1">
        <v>1</v>
      </c>
      <c r="L131" s="1">
        <v>509.3</v>
      </c>
    </row>
    <row r="132" spans="1:12" x14ac:dyDescent="0.15">
      <c r="A132" s="2" t="s">
        <v>214</v>
      </c>
      <c r="B132" s="2" t="s">
        <v>221</v>
      </c>
      <c r="C132" s="2" t="s">
        <v>458</v>
      </c>
      <c r="D132" s="2" t="s">
        <v>387</v>
      </c>
      <c r="E132" s="2" t="s">
        <v>388</v>
      </c>
      <c r="F132" s="2" t="s">
        <v>400</v>
      </c>
      <c r="G132" s="2" t="s">
        <v>354</v>
      </c>
      <c r="H132" s="2" t="s">
        <v>390</v>
      </c>
      <c r="I132" s="2" t="s">
        <v>406</v>
      </c>
      <c r="J132" s="2" t="s">
        <v>392</v>
      </c>
      <c r="K132" s="1">
        <v>1</v>
      </c>
      <c r="L132" s="1">
        <v>488.75</v>
      </c>
    </row>
    <row r="133" spans="1:12" x14ac:dyDescent="0.15">
      <c r="A133" s="2" t="s">
        <v>214</v>
      </c>
      <c r="B133" s="2" t="s">
        <v>221</v>
      </c>
      <c r="C133" s="2" t="s">
        <v>458</v>
      </c>
      <c r="D133" s="2" t="s">
        <v>387</v>
      </c>
      <c r="E133" s="2" t="s">
        <v>388</v>
      </c>
      <c r="F133" s="2" t="s">
        <v>400</v>
      </c>
      <c r="G133" s="2" t="s">
        <v>354</v>
      </c>
      <c r="H133" s="2" t="s">
        <v>390</v>
      </c>
      <c r="I133" s="2" t="s">
        <v>402</v>
      </c>
      <c r="J133" s="2" t="s">
        <v>392</v>
      </c>
      <c r="K133" s="1">
        <v>1</v>
      </c>
      <c r="L133" s="1">
        <v>479.29</v>
      </c>
    </row>
    <row r="134" spans="1:12" x14ac:dyDescent="0.15">
      <c r="A134" s="2" t="s">
        <v>214</v>
      </c>
      <c r="B134" s="2" t="s">
        <v>221</v>
      </c>
      <c r="C134" s="2" t="s">
        <v>458</v>
      </c>
      <c r="D134" s="2" t="s">
        <v>387</v>
      </c>
      <c r="E134" s="2" t="s">
        <v>388</v>
      </c>
      <c r="F134" s="2" t="s">
        <v>397</v>
      </c>
      <c r="G134" s="2" t="s">
        <v>355</v>
      </c>
      <c r="H134" s="2" t="s">
        <v>390</v>
      </c>
      <c r="I134" s="2" t="s">
        <v>394</v>
      </c>
      <c r="J134" s="2" t="s">
        <v>392</v>
      </c>
      <c r="K134" s="1">
        <v>1</v>
      </c>
      <c r="L134" s="1">
        <v>366.42</v>
      </c>
    </row>
    <row r="135" spans="1:12" x14ac:dyDescent="0.15">
      <c r="A135" s="2" t="s">
        <v>214</v>
      </c>
      <c r="B135" s="2" t="s">
        <v>233</v>
      </c>
      <c r="C135" s="2" t="s">
        <v>459</v>
      </c>
      <c r="D135" s="2" t="s">
        <v>387</v>
      </c>
      <c r="E135" s="2" t="s">
        <v>388</v>
      </c>
      <c r="F135" s="2" t="s">
        <v>399</v>
      </c>
      <c r="G135" s="2" t="s">
        <v>352</v>
      </c>
      <c r="H135" s="2" t="s">
        <v>390</v>
      </c>
      <c r="I135" s="2" t="s">
        <v>409</v>
      </c>
      <c r="J135" s="2" t="s">
        <v>392</v>
      </c>
      <c r="K135" s="1">
        <v>1</v>
      </c>
      <c r="L135" s="1">
        <v>509.3</v>
      </c>
    </row>
    <row r="136" spans="1:12" x14ac:dyDescent="0.15">
      <c r="A136" s="2" t="s">
        <v>214</v>
      </c>
      <c r="B136" s="2" t="s">
        <v>233</v>
      </c>
      <c r="C136" s="2" t="s">
        <v>459</v>
      </c>
      <c r="D136" s="2" t="s">
        <v>387</v>
      </c>
      <c r="E136" s="2" t="s">
        <v>388</v>
      </c>
      <c r="F136" s="2" t="s">
        <v>399</v>
      </c>
      <c r="G136" s="2" t="s">
        <v>352</v>
      </c>
      <c r="H136" s="2" t="s">
        <v>390</v>
      </c>
      <c r="I136" s="2" t="s">
        <v>414</v>
      </c>
      <c r="J136" s="2" t="s">
        <v>392</v>
      </c>
      <c r="K136" s="1">
        <v>1</v>
      </c>
      <c r="L136" s="1">
        <v>899</v>
      </c>
    </row>
    <row r="137" spans="1:12" x14ac:dyDescent="0.15">
      <c r="A137" s="2" t="s">
        <v>214</v>
      </c>
      <c r="B137" s="2" t="s">
        <v>233</v>
      </c>
      <c r="C137" s="2" t="s">
        <v>459</v>
      </c>
      <c r="D137" s="2" t="s">
        <v>387</v>
      </c>
      <c r="E137" s="2" t="s">
        <v>388</v>
      </c>
      <c r="F137" s="2" t="s">
        <v>389</v>
      </c>
      <c r="G137" s="2" t="s">
        <v>353</v>
      </c>
      <c r="H137" s="2" t="s">
        <v>390</v>
      </c>
      <c r="I137" s="2" t="s">
        <v>414</v>
      </c>
      <c r="J137" s="2" t="s">
        <v>392</v>
      </c>
      <c r="K137" s="1">
        <v>-1</v>
      </c>
      <c r="L137" s="1">
        <v>-899</v>
      </c>
    </row>
    <row r="138" spans="1:12" x14ac:dyDescent="0.15">
      <c r="A138" s="2" t="s">
        <v>214</v>
      </c>
      <c r="B138" s="2" t="s">
        <v>217</v>
      </c>
      <c r="C138" s="2" t="s">
        <v>460</v>
      </c>
      <c r="D138" s="2" t="s">
        <v>387</v>
      </c>
      <c r="E138" s="2" t="s">
        <v>388</v>
      </c>
      <c r="F138" s="2" t="s">
        <v>397</v>
      </c>
      <c r="G138" s="2" t="s">
        <v>355</v>
      </c>
      <c r="H138" s="2" t="s">
        <v>390</v>
      </c>
      <c r="I138" s="2" t="s">
        <v>410</v>
      </c>
      <c r="J138" s="2" t="s">
        <v>392</v>
      </c>
      <c r="K138" s="1">
        <v>1</v>
      </c>
      <c r="L138" s="1">
        <v>629.29999999999995</v>
      </c>
    </row>
    <row r="139" spans="1:12" x14ac:dyDescent="0.15">
      <c r="A139" s="2" t="s">
        <v>214</v>
      </c>
      <c r="B139" s="2" t="s">
        <v>237</v>
      </c>
      <c r="C139" s="2" t="s">
        <v>461</v>
      </c>
      <c r="D139" s="2" t="s">
        <v>387</v>
      </c>
      <c r="E139" s="2" t="s">
        <v>388</v>
      </c>
      <c r="F139" s="2" t="s">
        <v>389</v>
      </c>
      <c r="G139" s="2" t="s">
        <v>353</v>
      </c>
      <c r="H139" s="2" t="s">
        <v>390</v>
      </c>
      <c r="I139" s="2" t="s">
        <v>411</v>
      </c>
      <c r="J139" s="2" t="s">
        <v>392</v>
      </c>
      <c r="K139" s="1">
        <v>1</v>
      </c>
      <c r="L139" s="1">
        <v>579.29999999999995</v>
      </c>
    </row>
    <row r="140" spans="1:12" x14ac:dyDescent="0.15">
      <c r="A140" s="2" t="s">
        <v>214</v>
      </c>
      <c r="B140" s="2" t="s">
        <v>237</v>
      </c>
      <c r="C140" s="2" t="s">
        <v>461</v>
      </c>
      <c r="D140" s="2" t="s">
        <v>387</v>
      </c>
      <c r="E140" s="2" t="s">
        <v>388</v>
      </c>
      <c r="F140" s="2" t="s">
        <v>400</v>
      </c>
      <c r="G140" s="2" t="s">
        <v>354</v>
      </c>
      <c r="H140" s="2" t="s">
        <v>390</v>
      </c>
      <c r="I140" s="2" t="s">
        <v>401</v>
      </c>
      <c r="J140" s="2" t="s">
        <v>392</v>
      </c>
      <c r="K140" s="1">
        <v>1</v>
      </c>
      <c r="L140" s="1">
        <v>550.54999999999995</v>
      </c>
    </row>
    <row r="141" spans="1:12" x14ac:dyDescent="0.15">
      <c r="A141" s="2" t="s">
        <v>214</v>
      </c>
      <c r="B141" s="2" t="s">
        <v>237</v>
      </c>
      <c r="C141" s="2" t="s">
        <v>461</v>
      </c>
      <c r="D141" s="2" t="s">
        <v>387</v>
      </c>
      <c r="E141" s="2" t="s">
        <v>388</v>
      </c>
      <c r="F141" s="2" t="s">
        <v>400</v>
      </c>
      <c r="G141" s="2" t="s">
        <v>354</v>
      </c>
      <c r="H141" s="2" t="s">
        <v>390</v>
      </c>
      <c r="I141" s="2" t="s">
        <v>431</v>
      </c>
      <c r="J141" s="2" t="s">
        <v>392</v>
      </c>
      <c r="K141" s="1">
        <v>2</v>
      </c>
      <c r="L141" s="1">
        <v>1078.8</v>
      </c>
    </row>
    <row r="142" spans="1:12" x14ac:dyDescent="0.15">
      <c r="A142" s="2" t="s">
        <v>214</v>
      </c>
      <c r="B142" s="2" t="s">
        <v>237</v>
      </c>
      <c r="C142" s="2" t="s">
        <v>461</v>
      </c>
      <c r="D142" s="2" t="s">
        <v>387</v>
      </c>
      <c r="E142" s="2" t="s">
        <v>388</v>
      </c>
      <c r="F142" s="2" t="s">
        <v>400</v>
      </c>
      <c r="G142" s="2" t="s">
        <v>354</v>
      </c>
      <c r="H142" s="2" t="s">
        <v>390</v>
      </c>
      <c r="I142" s="2" t="s">
        <v>420</v>
      </c>
      <c r="J142" s="2" t="s">
        <v>392</v>
      </c>
      <c r="K142" s="1">
        <v>1</v>
      </c>
      <c r="L142" s="1">
        <v>579.29999999999995</v>
      </c>
    </row>
    <row r="143" spans="1:12" x14ac:dyDescent="0.15">
      <c r="A143" s="2" t="s">
        <v>214</v>
      </c>
      <c r="B143" s="2" t="s">
        <v>223</v>
      </c>
      <c r="C143" s="2" t="s">
        <v>462</v>
      </c>
      <c r="D143" s="2" t="s">
        <v>387</v>
      </c>
      <c r="E143" s="2" t="s">
        <v>388</v>
      </c>
      <c r="F143" s="2" t="s">
        <v>400</v>
      </c>
      <c r="G143" s="2" t="s">
        <v>354</v>
      </c>
      <c r="H143" s="2" t="s">
        <v>390</v>
      </c>
      <c r="I143" s="2" t="s">
        <v>431</v>
      </c>
      <c r="J143" s="2" t="s">
        <v>392</v>
      </c>
      <c r="K143" s="1">
        <v>1</v>
      </c>
      <c r="L143" s="1">
        <v>363.1</v>
      </c>
    </row>
    <row r="144" spans="1:12" x14ac:dyDescent="0.15">
      <c r="A144" s="2" t="s">
        <v>214</v>
      </c>
      <c r="B144" s="2" t="s">
        <v>223</v>
      </c>
      <c r="C144" s="2" t="s">
        <v>462</v>
      </c>
      <c r="D144" s="2" t="s">
        <v>387</v>
      </c>
      <c r="E144" s="2" t="s">
        <v>388</v>
      </c>
      <c r="F144" s="2" t="s">
        <v>397</v>
      </c>
      <c r="G144" s="2" t="s">
        <v>355</v>
      </c>
      <c r="H144" s="2" t="s">
        <v>390</v>
      </c>
      <c r="I144" s="2" t="s">
        <v>415</v>
      </c>
      <c r="J144" s="2" t="s">
        <v>392</v>
      </c>
      <c r="K144" s="1">
        <v>1</v>
      </c>
      <c r="L144" s="1">
        <v>449.5</v>
      </c>
    </row>
    <row r="145" spans="1:12" x14ac:dyDescent="0.15">
      <c r="A145" s="2" t="s">
        <v>214</v>
      </c>
      <c r="B145" s="2" t="s">
        <v>223</v>
      </c>
      <c r="C145" s="2" t="s">
        <v>462</v>
      </c>
      <c r="D145" s="2" t="s">
        <v>387</v>
      </c>
      <c r="E145" s="2" t="s">
        <v>388</v>
      </c>
      <c r="F145" s="2" t="s">
        <v>397</v>
      </c>
      <c r="G145" s="2" t="s">
        <v>355</v>
      </c>
      <c r="H145" s="2" t="s">
        <v>390</v>
      </c>
      <c r="I145" s="2" t="s">
        <v>524</v>
      </c>
      <c r="J145" s="2" t="s">
        <v>392</v>
      </c>
      <c r="K145" s="1">
        <v>-1</v>
      </c>
      <c r="L145" s="1">
        <v>-449.5</v>
      </c>
    </row>
    <row r="146" spans="1:12" x14ac:dyDescent="0.15">
      <c r="A146" s="2" t="s">
        <v>214</v>
      </c>
      <c r="B146" s="2" t="s">
        <v>372</v>
      </c>
      <c r="C146" s="2" t="s">
        <v>463</v>
      </c>
      <c r="D146" s="2" t="s">
        <v>387</v>
      </c>
      <c r="E146" s="2" t="s">
        <v>388</v>
      </c>
      <c r="F146" s="2" t="s">
        <v>400</v>
      </c>
      <c r="G146" s="2" t="s">
        <v>354</v>
      </c>
      <c r="H146" s="2" t="s">
        <v>390</v>
      </c>
      <c r="I146" s="2" t="s">
        <v>428</v>
      </c>
      <c r="J146" s="2" t="s">
        <v>392</v>
      </c>
      <c r="K146" s="1">
        <v>1</v>
      </c>
      <c r="L146" s="1">
        <v>608.71</v>
      </c>
    </row>
    <row r="147" spans="1:12" x14ac:dyDescent="0.15">
      <c r="A147" s="2" t="s">
        <v>59</v>
      </c>
      <c r="B147" s="2" t="s">
        <v>70</v>
      </c>
      <c r="C147" s="2" t="s">
        <v>464</v>
      </c>
      <c r="D147" s="2" t="s">
        <v>387</v>
      </c>
      <c r="E147" s="2" t="s">
        <v>388</v>
      </c>
      <c r="F147" s="2" t="s">
        <v>397</v>
      </c>
      <c r="G147" s="2" t="s">
        <v>355</v>
      </c>
      <c r="H147" s="2" t="s">
        <v>390</v>
      </c>
      <c r="I147" s="2" t="s">
        <v>402</v>
      </c>
      <c r="J147" s="2" t="s">
        <v>392</v>
      </c>
      <c r="K147" s="1">
        <v>1</v>
      </c>
      <c r="L147" s="1">
        <v>629.29999999999995</v>
      </c>
    </row>
    <row r="148" spans="1:12" x14ac:dyDescent="0.15">
      <c r="A148" s="2" t="s">
        <v>59</v>
      </c>
      <c r="B148" s="2" t="s">
        <v>76</v>
      </c>
      <c r="C148" s="2" t="s">
        <v>465</v>
      </c>
      <c r="D148" s="2" t="s">
        <v>387</v>
      </c>
      <c r="E148" s="2" t="s">
        <v>388</v>
      </c>
      <c r="F148" s="2" t="s">
        <v>389</v>
      </c>
      <c r="G148" s="2" t="s">
        <v>353</v>
      </c>
      <c r="H148" s="2" t="s">
        <v>390</v>
      </c>
      <c r="I148" s="2" t="s">
        <v>409</v>
      </c>
      <c r="J148" s="2" t="s">
        <v>392</v>
      </c>
      <c r="K148" s="1">
        <v>1</v>
      </c>
      <c r="L148" s="1">
        <v>568.72</v>
      </c>
    </row>
    <row r="149" spans="1:12" x14ac:dyDescent="0.15">
      <c r="A149" s="2" t="s">
        <v>59</v>
      </c>
      <c r="B149" s="2" t="s">
        <v>76</v>
      </c>
      <c r="C149" s="2" t="s">
        <v>465</v>
      </c>
      <c r="D149" s="2" t="s">
        <v>387</v>
      </c>
      <c r="E149" s="2" t="s">
        <v>388</v>
      </c>
      <c r="F149" s="2" t="s">
        <v>389</v>
      </c>
      <c r="G149" s="2" t="s">
        <v>353</v>
      </c>
      <c r="H149" s="2" t="s">
        <v>390</v>
      </c>
      <c r="I149" s="2" t="s">
        <v>407</v>
      </c>
      <c r="J149" s="2" t="s">
        <v>392</v>
      </c>
      <c r="K149" s="1">
        <v>1</v>
      </c>
      <c r="L149" s="1">
        <v>579.29999999999995</v>
      </c>
    </row>
    <row r="150" spans="1:12" x14ac:dyDescent="0.15">
      <c r="A150" s="2" t="s">
        <v>59</v>
      </c>
      <c r="B150" s="2" t="s">
        <v>76</v>
      </c>
      <c r="C150" s="2" t="s">
        <v>465</v>
      </c>
      <c r="D150" s="2" t="s">
        <v>387</v>
      </c>
      <c r="E150" s="2" t="s">
        <v>388</v>
      </c>
      <c r="F150" s="2" t="s">
        <v>389</v>
      </c>
      <c r="G150" s="2" t="s">
        <v>353</v>
      </c>
      <c r="H150" s="2" t="s">
        <v>390</v>
      </c>
      <c r="I150" s="2" t="s">
        <v>394</v>
      </c>
      <c r="J150" s="2" t="s">
        <v>392</v>
      </c>
      <c r="K150" s="1">
        <v>1</v>
      </c>
      <c r="L150" s="1">
        <v>629.29999999999995</v>
      </c>
    </row>
    <row r="151" spans="1:12" x14ac:dyDescent="0.15">
      <c r="A151" s="2" t="s">
        <v>59</v>
      </c>
      <c r="B151" s="2" t="s">
        <v>76</v>
      </c>
      <c r="C151" s="2" t="s">
        <v>465</v>
      </c>
      <c r="D151" s="2" t="s">
        <v>387</v>
      </c>
      <c r="E151" s="2" t="s">
        <v>388</v>
      </c>
      <c r="F151" s="2" t="s">
        <v>389</v>
      </c>
      <c r="G151" s="2" t="s">
        <v>353</v>
      </c>
      <c r="H151" s="2" t="s">
        <v>390</v>
      </c>
      <c r="I151" s="2" t="s">
        <v>524</v>
      </c>
      <c r="J151" s="2" t="s">
        <v>392</v>
      </c>
      <c r="K151" s="1">
        <v>1</v>
      </c>
      <c r="L151" s="1">
        <v>629.29999999999995</v>
      </c>
    </row>
    <row r="152" spans="1:12" x14ac:dyDescent="0.15">
      <c r="A152" s="2" t="s">
        <v>59</v>
      </c>
      <c r="B152" s="2" t="s">
        <v>64</v>
      </c>
      <c r="C152" s="2" t="s">
        <v>466</v>
      </c>
      <c r="D152" s="2" t="s">
        <v>387</v>
      </c>
      <c r="E152" s="2" t="s">
        <v>388</v>
      </c>
      <c r="F152" s="2" t="s">
        <v>389</v>
      </c>
      <c r="G152" s="2" t="s">
        <v>353</v>
      </c>
      <c r="H152" s="2" t="s">
        <v>390</v>
      </c>
      <c r="I152" s="2" t="s">
        <v>420</v>
      </c>
      <c r="J152" s="2" t="s">
        <v>392</v>
      </c>
      <c r="K152" s="1">
        <v>1</v>
      </c>
      <c r="L152" s="1">
        <v>555.9</v>
      </c>
    </row>
    <row r="153" spans="1:12" x14ac:dyDescent="0.15">
      <c r="A153" s="2" t="s">
        <v>59</v>
      </c>
      <c r="B153" s="2" t="s">
        <v>96</v>
      </c>
      <c r="C153" s="2" t="s">
        <v>467</v>
      </c>
      <c r="D153" s="2" t="s">
        <v>387</v>
      </c>
      <c r="E153" s="2" t="s">
        <v>388</v>
      </c>
      <c r="F153" s="2" t="s">
        <v>389</v>
      </c>
      <c r="G153" s="2" t="s">
        <v>353</v>
      </c>
      <c r="H153" s="2" t="s">
        <v>390</v>
      </c>
      <c r="I153" s="2" t="s">
        <v>410</v>
      </c>
      <c r="J153" s="2" t="s">
        <v>392</v>
      </c>
      <c r="K153" s="1">
        <v>1</v>
      </c>
      <c r="L153" s="1">
        <v>629.29999999999995</v>
      </c>
    </row>
    <row r="154" spans="1:12" x14ac:dyDescent="0.15">
      <c r="A154" s="2" t="s">
        <v>59</v>
      </c>
      <c r="B154" s="2" t="s">
        <v>92</v>
      </c>
      <c r="C154" s="2" t="s">
        <v>468</v>
      </c>
      <c r="D154" s="2" t="s">
        <v>387</v>
      </c>
      <c r="E154" s="2" t="s">
        <v>388</v>
      </c>
      <c r="F154" s="2" t="s">
        <v>389</v>
      </c>
      <c r="G154" s="2" t="s">
        <v>353</v>
      </c>
      <c r="H154" s="2" t="s">
        <v>390</v>
      </c>
      <c r="I154" s="2" t="s">
        <v>410</v>
      </c>
      <c r="J154" s="2" t="s">
        <v>392</v>
      </c>
      <c r="K154" s="1">
        <v>1</v>
      </c>
      <c r="L154" s="1">
        <v>629.29999999999995</v>
      </c>
    </row>
    <row r="155" spans="1:12" x14ac:dyDescent="0.15">
      <c r="A155" s="2" t="s">
        <v>59</v>
      </c>
      <c r="B155" s="2" t="s">
        <v>80</v>
      </c>
      <c r="C155" s="2" t="s">
        <v>469</v>
      </c>
      <c r="D155" s="2" t="s">
        <v>387</v>
      </c>
      <c r="E155" s="2" t="s">
        <v>388</v>
      </c>
      <c r="F155" s="2" t="s">
        <v>389</v>
      </c>
      <c r="G155" s="2" t="s">
        <v>353</v>
      </c>
      <c r="H155" s="2" t="s">
        <v>390</v>
      </c>
      <c r="I155" s="2" t="s">
        <v>417</v>
      </c>
      <c r="J155" s="2" t="s">
        <v>392</v>
      </c>
      <c r="K155" s="1">
        <v>-1</v>
      </c>
      <c r="L155" s="1">
        <v>-899</v>
      </c>
    </row>
    <row r="156" spans="1:12" x14ac:dyDescent="0.15">
      <c r="A156" s="2" t="s">
        <v>59</v>
      </c>
      <c r="B156" s="2" t="s">
        <v>80</v>
      </c>
      <c r="C156" s="2" t="s">
        <v>469</v>
      </c>
      <c r="D156" s="2" t="s">
        <v>387</v>
      </c>
      <c r="E156" s="2" t="s">
        <v>388</v>
      </c>
      <c r="F156" s="2" t="s">
        <v>397</v>
      </c>
      <c r="G156" s="2" t="s">
        <v>355</v>
      </c>
      <c r="H156" s="2" t="s">
        <v>390</v>
      </c>
      <c r="I156" s="2" t="s">
        <v>417</v>
      </c>
      <c r="J156" s="2" t="s">
        <v>392</v>
      </c>
      <c r="K156" s="1">
        <v>1</v>
      </c>
      <c r="L156" s="1">
        <v>899</v>
      </c>
    </row>
    <row r="157" spans="1:12" x14ac:dyDescent="0.15">
      <c r="A157" s="2" t="s">
        <v>59</v>
      </c>
      <c r="B157" s="2" t="s">
        <v>72</v>
      </c>
      <c r="C157" s="2" t="s">
        <v>470</v>
      </c>
      <c r="D157" s="2" t="s">
        <v>387</v>
      </c>
      <c r="E157" s="2" t="s">
        <v>388</v>
      </c>
      <c r="F157" s="2" t="s">
        <v>389</v>
      </c>
      <c r="G157" s="2" t="s">
        <v>353</v>
      </c>
      <c r="H157" s="2" t="s">
        <v>390</v>
      </c>
      <c r="I157" s="2" t="s">
        <v>410</v>
      </c>
      <c r="J157" s="2" t="s">
        <v>392</v>
      </c>
      <c r="K157" s="1">
        <v>1</v>
      </c>
      <c r="L157" s="1">
        <v>509.3</v>
      </c>
    </row>
    <row r="158" spans="1:12" x14ac:dyDescent="0.15">
      <c r="A158" s="2" t="s">
        <v>59</v>
      </c>
      <c r="B158" s="2" t="s">
        <v>98</v>
      </c>
      <c r="C158" s="2" t="s">
        <v>471</v>
      </c>
      <c r="D158" s="2" t="s">
        <v>387</v>
      </c>
      <c r="E158" s="2" t="s">
        <v>388</v>
      </c>
      <c r="F158" s="2" t="s">
        <v>400</v>
      </c>
      <c r="G158" s="2" t="s">
        <v>354</v>
      </c>
      <c r="H158" s="2" t="s">
        <v>390</v>
      </c>
      <c r="I158" s="2" t="s">
        <v>417</v>
      </c>
      <c r="J158" s="2" t="s">
        <v>392</v>
      </c>
      <c r="K158" s="1">
        <v>1</v>
      </c>
      <c r="L158" s="1">
        <v>629.29999999999995</v>
      </c>
    </row>
    <row r="159" spans="1:12" x14ac:dyDescent="0.15">
      <c r="A159" s="2" t="s">
        <v>59</v>
      </c>
      <c r="B159" s="2" t="s">
        <v>60</v>
      </c>
      <c r="C159" s="2" t="s">
        <v>472</v>
      </c>
      <c r="D159" s="2" t="s">
        <v>387</v>
      </c>
      <c r="E159" s="2" t="s">
        <v>388</v>
      </c>
      <c r="F159" s="2" t="s">
        <v>397</v>
      </c>
      <c r="G159" s="2" t="s">
        <v>355</v>
      </c>
      <c r="H159" s="2" t="s">
        <v>390</v>
      </c>
      <c r="I159" s="2" t="s">
        <v>417</v>
      </c>
      <c r="J159" s="2" t="s">
        <v>392</v>
      </c>
      <c r="K159" s="1">
        <v>1</v>
      </c>
      <c r="L159" s="1">
        <v>606.47</v>
      </c>
    </row>
    <row r="160" spans="1:12" x14ac:dyDescent="0.15">
      <c r="A160" s="2" t="s">
        <v>100</v>
      </c>
      <c r="B160" s="2" t="s">
        <v>115</v>
      </c>
      <c r="C160" s="2" t="s">
        <v>473</v>
      </c>
      <c r="D160" s="2" t="s">
        <v>387</v>
      </c>
      <c r="E160" s="2" t="s">
        <v>388</v>
      </c>
      <c r="F160" s="2" t="s">
        <v>389</v>
      </c>
      <c r="G160" s="2" t="s">
        <v>353</v>
      </c>
      <c r="H160" s="2" t="s">
        <v>390</v>
      </c>
      <c r="I160" s="2" t="s">
        <v>407</v>
      </c>
      <c r="J160" s="2" t="s">
        <v>392</v>
      </c>
      <c r="K160" s="1">
        <v>1</v>
      </c>
      <c r="L160" s="1">
        <v>629.29999999999995</v>
      </c>
    </row>
    <row r="161" spans="1:12" x14ac:dyDescent="0.15">
      <c r="A161" s="2" t="s">
        <v>100</v>
      </c>
      <c r="B161" s="2" t="s">
        <v>125</v>
      </c>
      <c r="C161" s="2" t="s">
        <v>474</v>
      </c>
      <c r="D161" s="2" t="s">
        <v>387</v>
      </c>
      <c r="E161" s="2" t="s">
        <v>388</v>
      </c>
      <c r="F161" s="2" t="s">
        <v>400</v>
      </c>
      <c r="G161" s="2" t="s">
        <v>354</v>
      </c>
      <c r="H161" s="2" t="s">
        <v>390</v>
      </c>
      <c r="I161" s="2" t="s">
        <v>402</v>
      </c>
      <c r="J161" s="2" t="s">
        <v>392</v>
      </c>
      <c r="K161" s="1">
        <v>1</v>
      </c>
      <c r="L161" s="1">
        <v>594.47</v>
      </c>
    </row>
    <row r="162" spans="1:12" x14ac:dyDescent="0.15">
      <c r="A162" s="2" t="s">
        <v>100</v>
      </c>
      <c r="B162" s="2" t="s">
        <v>121</v>
      </c>
      <c r="C162" s="2" t="s">
        <v>475</v>
      </c>
      <c r="D162" s="2" t="s">
        <v>387</v>
      </c>
      <c r="E162" s="2" t="s">
        <v>388</v>
      </c>
      <c r="F162" s="2" t="s">
        <v>389</v>
      </c>
      <c r="G162" s="2" t="s">
        <v>353</v>
      </c>
      <c r="H162" s="2" t="s">
        <v>390</v>
      </c>
      <c r="I162" s="2" t="s">
        <v>423</v>
      </c>
      <c r="J162" s="2" t="s">
        <v>392</v>
      </c>
      <c r="K162" s="1">
        <v>1</v>
      </c>
      <c r="L162" s="1">
        <v>601.41999999999996</v>
      </c>
    </row>
    <row r="163" spans="1:12" x14ac:dyDescent="0.15">
      <c r="A163" s="2" t="s">
        <v>100</v>
      </c>
      <c r="B163" s="2" t="s">
        <v>119</v>
      </c>
      <c r="C163" s="2" t="s">
        <v>476</v>
      </c>
      <c r="D163" s="2" t="s">
        <v>387</v>
      </c>
      <c r="E163" s="2" t="s">
        <v>388</v>
      </c>
      <c r="F163" s="2" t="s">
        <v>400</v>
      </c>
      <c r="G163" s="2" t="s">
        <v>354</v>
      </c>
      <c r="H163" s="2" t="s">
        <v>390</v>
      </c>
      <c r="I163" s="2" t="s">
        <v>409</v>
      </c>
      <c r="J163" s="2" t="s">
        <v>392</v>
      </c>
      <c r="K163" s="1">
        <v>1</v>
      </c>
      <c r="L163" s="1">
        <v>529.29999999999995</v>
      </c>
    </row>
    <row r="164" spans="1:12" x14ac:dyDescent="0.15">
      <c r="A164" s="2" t="s">
        <v>100</v>
      </c>
      <c r="B164" s="2" t="s">
        <v>123</v>
      </c>
      <c r="C164" s="2" t="s">
        <v>477</v>
      </c>
      <c r="D164" s="2" t="s">
        <v>387</v>
      </c>
      <c r="E164" s="2" t="s">
        <v>388</v>
      </c>
      <c r="F164" s="2" t="s">
        <v>399</v>
      </c>
      <c r="G164" s="2" t="s">
        <v>352</v>
      </c>
      <c r="H164" s="2" t="s">
        <v>390</v>
      </c>
      <c r="I164" s="2" t="s">
        <v>432</v>
      </c>
      <c r="J164" s="2" t="s">
        <v>392</v>
      </c>
      <c r="K164" s="1">
        <v>1</v>
      </c>
      <c r="L164" s="1">
        <v>629.29999999999995</v>
      </c>
    </row>
    <row r="165" spans="1:12" x14ac:dyDescent="0.15">
      <c r="A165" s="2" t="s">
        <v>100</v>
      </c>
      <c r="B165" s="2" t="s">
        <v>123</v>
      </c>
      <c r="C165" s="2" t="s">
        <v>477</v>
      </c>
      <c r="D165" s="2" t="s">
        <v>387</v>
      </c>
      <c r="E165" s="2" t="s">
        <v>388</v>
      </c>
      <c r="F165" s="2" t="s">
        <v>399</v>
      </c>
      <c r="G165" s="2" t="s">
        <v>352</v>
      </c>
      <c r="H165" s="2" t="s">
        <v>390</v>
      </c>
      <c r="I165" s="2" t="s">
        <v>413</v>
      </c>
      <c r="J165" s="2" t="s">
        <v>392</v>
      </c>
      <c r="K165" s="1">
        <v>-1</v>
      </c>
      <c r="L165" s="1">
        <v>-629.29999999999995</v>
      </c>
    </row>
    <row r="166" spans="1:12" x14ac:dyDescent="0.15">
      <c r="A166" s="2" t="s">
        <v>100</v>
      </c>
      <c r="B166" s="2" t="s">
        <v>127</v>
      </c>
      <c r="C166" s="2" t="s">
        <v>478</v>
      </c>
      <c r="D166" s="2" t="s">
        <v>387</v>
      </c>
      <c r="E166" s="2" t="s">
        <v>388</v>
      </c>
      <c r="F166" s="2" t="s">
        <v>389</v>
      </c>
      <c r="G166" s="2" t="s">
        <v>353</v>
      </c>
      <c r="H166" s="2" t="s">
        <v>390</v>
      </c>
      <c r="I166" s="2" t="s">
        <v>403</v>
      </c>
      <c r="J166" s="2" t="s">
        <v>392</v>
      </c>
      <c r="K166" s="1">
        <v>1</v>
      </c>
      <c r="L166" s="1">
        <v>479.32</v>
      </c>
    </row>
    <row r="167" spans="1:12" x14ac:dyDescent="0.15">
      <c r="A167" s="2" t="s">
        <v>100</v>
      </c>
      <c r="B167" s="2" t="s">
        <v>105</v>
      </c>
      <c r="C167" s="2" t="s">
        <v>479</v>
      </c>
      <c r="D167" s="2" t="s">
        <v>387</v>
      </c>
      <c r="E167" s="2" t="s">
        <v>388</v>
      </c>
      <c r="F167" s="2" t="s">
        <v>389</v>
      </c>
      <c r="G167" s="2" t="s">
        <v>353</v>
      </c>
      <c r="H167" s="2" t="s">
        <v>390</v>
      </c>
      <c r="I167" s="2" t="s">
        <v>409</v>
      </c>
      <c r="J167" s="2" t="s">
        <v>392</v>
      </c>
      <c r="K167" s="1">
        <v>0</v>
      </c>
      <c r="L167" s="1">
        <v>0</v>
      </c>
    </row>
    <row r="168" spans="1:12" x14ac:dyDescent="0.15">
      <c r="A168" s="2" t="s">
        <v>100</v>
      </c>
      <c r="B168" s="2" t="s">
        <v>105</v>
      </c>
      <c r="C168" s="2" t="s">
        <v>479</v>
      </c>
      <c r="D168" s="2" t="s">
        <v>387</v>
      </c>
      <c r="E168" s="2" t="s">
        <v>388</v>
      </c>
      <c r="F168" s="2" t="s">
        <v>389</v>
      </c>
      <c r="G168" s="2" t="s">
        <v>353</v>
      </c>
      <c r="H168" s="2" t="s">
        <v>390</v>
      </c>
      <c r="I168" s="2" t="s">
        <v>393</v>
      </c>
      <c r="J168" s="2" t="s">
        <v>392</v>
      </c>
      <c r="K168" s="1">
        <v>2</v>
      </c>
      <c r="L168" s="1">
        <v>1528.3</v>
      </c>
    </row>
    <row r="169" spans="1:12" x14ac:dyDescent="0.15">
      <c r="A169" s="2" t="s">
        <v>100</v>
      </c>
      <c r="B169" s="2" t="s">
        <v>105</v>
      </c>
      <c r="C169" s="2" t="s">
        <v>479</v>
      </c>
      <c r="D169" s="2" t="s">
        <v>387</v>
      </c>
      <c r="E169" s="2" t="s">
        <v>388</v>
      </c>
      <c r="F169" s="2" t="s">
        <v>400</v>
      </c>
      <c r="G169" s="2" t="s">
        <v>354</v>
      </c>
      <c r="H169" s="2" t="s">
        <v>390</v>
      </c>
      <c r="I169" s="2" t="s">
        <v>409</v>
      </c>
      <c r="J169" s="2" t="s">
        <v>392</v>
      </c>
      <c r="K169" s="1">
        <v>1</v>
      </c>
      <c r="L169" s="1">
        <v>567.1</v>
      </c>
    </row>
    <row r="170" spans="1:12" x14ac:dyDescent="0.15">
      <c r="A170" s="2" t="s">
        <v>100</v>
      </c>
      <c r="B170" s="2" t="s">
        <v>105</v>
      </c>
      <c r="C170" s="2" t="s">
        <v>479</v>
      </c>
      <c r="D170" s="2" t="s">
        <v>387</v>
      </c>
      <c r="E170" s="2" t="s">
        <v>388</v>
      </c>
      <c r="F170" s="2" t="s">
        <v>400</v>
      </c>
      <c r="G170" s="2" t="s">
        <v>354</v>
      </c>
      <c r="H170" s="2" t="s">
        <v>390</v>
      </c>
      <c r="I170" s="2" t="s">
        <v>393</v>
      </c>
      <c r="J170" s="2" t="s">
        <v>392</v>
      </c>
      <c r="K170" s="1">
        <v>-1</v>
      </c>
      <c r="L170" s="1">
        <v>-899</v>
      </c>
    </row>
    <row r="171" spans="1:12" x14ac:dyDescent="0.15">
      <c r="A171" s="2" t="s">
        <v>100</v>
      </c>
      <c r="B171" s="2" t="s">
        <v>131</v>
      </c>
      <c r="C171" s="2" t="s">
        <v>480</v>
      </c>
      <c r="D171" s="2" t="s">
        <v>387</v>
      </c>
      <c r="E171" s="2" t="s">
        <v>388</v>
      </c>
      <c r="F171" s="2" t="s">
        <v>389</v>
      </c>
      <c r="G171" s="2" t="s">
        <v>353</v>
      </c>
      <c r="H171" s="2" t="s">
        <v>390</v>
      </c>
      <c r="I171" s="2" t="s">
        <v>409</v>
      </c>
      <c r="J171" s="2" t="s">
        <v>392</v>
      </c>
      <c r="K171" s="1">
        <v>2</v>
      </c>
      <c r="L171" s="1">
        <v>1428.3</v>
      </c>
    </row>
    <row r="172" spans="1:12" x14ac:dyDescent="0.15">
      <c r="A172" s="2" t="s">
        <v>100</v>
      </c>
      <c r="B172" s="2" t="s">
        <v>131</v>
      </c>
      <c r="C172" s="2" t="s">
        <v>480</v>
      </c>
      <c r="D172" s="2" t="s">
        <v>387</v>
      </c>
      <c r="E172" s="2" t="s">
        <v>388</v>
      </c>
      <c r="F172" s="2" t="s">
        <v>389</v>
      </c>
      <c r="G172" s="2" t="s">
        <v>353</v>
      </c>
      <c r="H172" s="2" t="s">
        <v>390</v>
      </c>
      <c r="I172" s="2" t="s">
        <v>431</v>
      </c>
      <c r="J172" s="2" t="s">
        <v>392</v>
      </c>
      <c r="K172" s="1">
        <v>-1</v>
      </c>
      <c r="L172" s="1">
        <v>-899</v>
      </c>
    </row>
    <row r="173" spans="1:12" x14ac:dyDescent="0.15">
      <c r="A173" s="2" t="s">
        <v>100</v>
      </c>
      <c r="B173" s="2" t="s">
        <v>131</v>
      </c>
      <c r="C173" s="2" t="s">
        <v>480</v>
      </c>
      <c r="D173" s="2" t="s">
        <v>387</v>
      </c>
      <c r="E173" s="2" t="s">
        <v>388</v>
      </c>
      <c r="F173" s="2" t="s">
        <v>400</v>
      </c>
      <c r="G173" s="2" t="s">
        <v>354</v>
      </c>
      <c r="H173" s="2" t="s">
        <v>390</v>
      </c>
      <c r="I173" s="2" t="s">
        <v>409</v>
      </c>
      <c r="J173" s="2" t="s">
        <v>392</v>
      </c>
      <c r="K173" s="1">
        <v>-1</v>
      </c>
      <c r="L173" s="1">
        <v>-899</v>
      </c>
    </row>
    <row r="174" spans="1:12" x14ac:dyDescent="0.15">
      <c r="A174" s="2" t="s">
        <v>100</v>
      </c>
      <c r="B174" s="2" t="s">
        <v>131</v>
      </c>
      <c r="C174" s="2" t="s">
        <v>480</v>
      </c>
      <c r="D174" s="2" t="s">
        <v>387</v>
      </c>
      <c r="E174" s="2" t="s">
        <v>388</v>
      </c>
      <c r="F174" s="2" t="s">
        <v>400</v>
      </c>
      <c r="G174" s="2" t="s">
        <v>354</v>
      </c>
      <c r="H174" s="2" t="s">
        <v>390</v>
      </c>
      <c r="I174" s="2" t="s">
        <v>431</v>
      </c>
      <c r="J174" s="2" t="s">
        <v>392</v>
      </c>
      <c r="K174" s="1">
        <v>1</v>
      </c>
      <c r="L174" s="1">
        <v>899</v>
      </c>
    </row>
    <row r="175" spans="1:12" x14ac:dyDescent="0.15">
      <c r="A175" s="2" t="s">
        <v>163</v>
      </c>
      <c r="B175" s="2" t="s">
        <v>164</v>
      </c>
      <c r="C175" s="2" t="s">
        <v>481</v>
      </c>
      <c r="D175" s="2" t="s">
        <v>387</v>
      </c>
      <c r="E175" s="2" t="s">
        <v>388</v>
      </c>
      <c r="F175" s="2" t="s">
        <v>389</v>
      </c>
      <c r="G175" s="2" t="s">
        <v>353</v>
      </c>
      <c r="H175" s="2" t="s">
        <v>390</v>
      </c>
      <c r="I175" s="2" t="s">
        <v>524</v>
      </c>
      <c r="J175" s="2" t="s">
        <v>392</v>
      </c>
      <c r="K175" s="1">
        <v>1</v>
      </c>
      <c r="L175" s="1">
        <v>579.29999999999995</v>
      </c>
    </row>
    <row r="176" spans="1:12" x14ac:dyDescent="0.15">
      <c r="A176" s="2" t="s">
        <v>163</v>
      </c>
      <c r="B176" s="2" t="s">
        <v>164</v>
      </c>
      <c r="C176" s="2" t="s">
        <v>481</v>
      </c>
      <c r="D176" s="2" t="s">
        <v>387</v>
      </c>
      <c r="E176" s="2" t="s">
        <v>388</v>
      </c>
      <c r="F176" s="2" t="s">
        <v>400</v>
      </c>
      <c r="G176" s="2" t="s">
        <v>354</v>
      </c>
      <c r="H176" s="2" t="s">
        <v>390</v>
      </c>
      <c r="I176" s="2" t="s">
        <v>394</v>
      </c>
      <c r="J176" s="2" t="s">
        <v>392</v>
      </c>
      <c r="K176" s="1">
        <v>1</v>
      </c>
      <c r="L176" s="1">
        <v>629.29999999999995</v>
      </c>
    </row>
    <row r="177" spans="1:12" x14ac:dyDescent="0.15">
      <c r="A177" s="2" t="s">
        <v>163</v>
      </c>
      <c r="B177" s="2" t="s">
        <v>168</v>
      </c>
      <c r="C177" s="2" t="s">
        <v>482</v>
      </c>
      <c r="D177" s="2" t="s">
        <v>387</v>
      </c>
      <c r="E177" s="2" t="s">
        <v>388</v>
      </c>
      <c r="F177" s="2" t="s">
        <v>389</v>
      </c>
      <c r="G177" s="2" t="s">
        <v>353</v>
      </c>
      <c r="H177" s="2" t="s">
        <v>390</v>
      </c>
      <c r="I177" s="2" t="s">
        <v>409</v>
      </c>
      <c r="J177" s="2" t="s">
        <v>392</v>
      </c>
      <c r="K177" s="1">
        <v>1</v>
      </c>
      <c r="L177" s="1">
        <v>509.3</v>
      </c>
    </row>
    <row r="178" spans="1:12" x14ac:dyDescent="0.15">
      <c r="A178" s="2" t="s">
        <v>163</v>
      </c>
      <c r="B178" s="2" t="s">
        <v>168</v>
      </c>
      <c r="C178" s="2" t="s">
        <v>482</v>
      </c>
      <c r="D178" s="2" t="s">
        <v>387</v>
      </c>
      <c r="E178" s="2" t="s">
        <v>388</v>
      </c>
      <c r="F178" s="2" t="s">
        <v>400</v>
      </c>
      <c r="G178" s="2" t="s">
        <v>354</v>
      </c>
      <c r="H178" s="2" t="s">
        <v>390</v>
      </c>
      <c r="I178" s="2" t="s">
        <v>407</v>
      </c>
      <c r="J178" s="2" t="s">
        <v>392</v>
      </c>
      <c r="K178" s="1">
        <v>1</v>
      </c>
      <c r="L178" s="1">
        <v>269.7</v>
      </c>
    </row>
    <row r="179" spans="1:12" x14ac:dyDescent="0.15">
      <c r="A179" s="2" t="s">
        <v>163</v>
      </c>
      <c r="B179" s="2" t="s">
        <v>168</v>
      </c>
      <c r="C179" s="2" t="s">
        <v>482</v>
      </c>
      <c r="D179" s="2" t="s">
        <v>387</v>
      </c>
      <c r="E179" s="2" t="s">
        <v>388</v>
      </c>
      <c r="F179" s="2" t="s">
        <v>400</v>
      </c>
      <c r="G179" s="2" t="s">
        <v>354</v>
      </c>
      <c r="H179" s="2" t="s">
        <v>390</v>
      </c>
      <c r="I179" s="2" t="s">
        <v>423</v>
      </c>
      <c r="J179" s="2" t="s">
        <v>392</v>
      </c>
      <c r="K179" s="1">
        <v>1</v>
      </c>
      <c r="L179" s="1">
        <v>269.7</v>
      </c>
    </row>
    <row r="180" spans="1:12" x14ac:dyDescent="0.15">
      <c r="A180" s="2" t="s">
        <v>163</v>
      </c>
      <c r="B180" s="2" t="s">
        <v>168</v>
      </c>
      <c r="C180" s="2" t="s">
        <v>482</v>
      </c>
      <c r="D180" s="2" t="s">
        <v>387</v>
      </c>
      <c r="E180" s="2" t="s">
        <v>388</v>
      </c>
      <c r="F180" s="2" t="s">
        <v>397</v>
      </c>
      <c r="G180" s="2" t="s">
        <v>355</v>
      </c>
      <c r="H180" s="2" t="s">
        <v>390</v>
      </c>
      <c r="I180" s="2" t="s">
        <v>432</v>
      </c>
      <c r="J180" s="2" t="s">
        <v>392</v>
      </c>
      <c r="K180" s="1">
        <v>1</v>
      </c>
      <c r="L180" s="1">
        <v>629.29999999999995</v>
      </c>
    </row>
    <row r="181" spans="1:12" x14ac:dyDescent="0.15">
      <c r="A181" s="2" t="s">
        <v>163</v>
      </c>
      <c r="B181" s="2" t="s">
        <v>172</v>
      </c>
      <c r="C181" s="2" t="s">
        <v>483</v>
      </c>
      <c r="D181" s="2" t="s">
        <v>387</v>
      </c>
      <c r="E181" s="2" t="s">
        <v>388</v>
      </c>
      <c r="F181" s="2" t="s">
        <v>400</v>
      </c>
      <c r="G181" s="2" t="s">
        <v>354</v>
      </c>
      <c r="H181" s="2" t="s">
        <v>390</v>
      </c>
      <c r="I181" s="2" t="s">
        <v>393</v>
      </c>
      <c r="J181" s="2" t="s">
        <v>392</v>
      </c>
      <c r="K181" s="1">
        <v>1</v>
      </c>
      <c r="L181" s="1">
        <v>579.29999999999995</v>
      </c>
    </row>
    <row r="182" spans="1:12" x14ac:dyDescent="0.15">
      <c r="A182" s="2" t="s">
        <v>163</v>
      </c>
      <c r="B182" s="2" t="s">
        <v>170</v>
      </c>
      <c r="C182" s="2" t="s">
        <v>484</v>
      </c>
      <c r="D182" s="2" t="s">
        <v>387</v>
      </c>
      <c r="E182" s="2" t="s">
        <v>388</v>
      </c>
      <c r="F182" s="2" t="s">
        <v>397</v>
      </c>
      <c r="G182" s="2" t="s">
        <v>355</v>
      </c>
      <c r="H182" s="2" t="s">
        <v>390</v>
      </c>
      <c r="I182" s="2" t="s">
        <v>431</v>
      </c>
      <c r="J182" s="2" t="s">
        <v>392</v>
      </c>
      <c r="K182" s="1">
        <v>1</v>
      </c>
      <c r="L182" s="1">
        <v>579.29999999999995</v>
      </c>
    </row>
    <row r="183" spans="1:12" x14ac:dyDescent="0.15">
      <c r="A183" s="2" t="s">
        <v>302</v>
      </c>
      <c r="B183" s="2" t="s">
        <v>303</v>
      </c>
      <c r="C183" s="2" t="s">
        <v>485</v>
      </c>
      <c r="D183" s="2" t="s">
        <v>387</v>
      </c>
      <c r="E183" s="2" t="s">
        <v>388</v>
      </c>
      <c r="F183" s="2" t="s">
        <v>389</v>
      </c>
      <c r="G183" s="2" t="s">
        <v>353</v>
      </c>
      <c r="H183" s="2" t="s">
        <v>390</v>
      </c>
      <c r="I183" s="2" t="s">
        <v>413</v>
      </c>
      <c r="J183" s="2" t="s">
        <v>392</v>
      </c>
      <c r="K183" s="1">
        <v>1</v>
      </c>
      <c r="L183" s="1">
        <v>0</v>
      </c>
    </row>
    <row r="184" spans="1:12" x14ac:dyDescent="0.15">
      <c r="A184" s="2" t="s">
        <v>302</v>
      </c>
      <c r="B184" s="2" t="s">
        <v>303</v>
      </c>
      <c r="C184" s="2" t="s">
        <v>485</v>
      </c>
      <c r="D184" s="2" t="s">
        <v>387</v>
      </c>
      <c r="E184" s="2" t="s">
        <v>388</v>
      </c>
      <c r="F184" s="2" t="s">
        <v>389</v>
      </c>
      <c r="G184" s="2" t="s">
        <v>353</v>
      </c>
      <c r="H184" s="2" t="s">
        <v>390</v>
      </c>
      <c r="I184" s="2" t="s">
        <v>415</v>
      </c>
      <c r="J184" s="2" t="s">
        <v>392</v>
      </c>
      <c r="K184" s="1">
        <v>1</v>
      </c>
      <c r="L184" s="1">
        <v>449.5</v>
      </c>
    </row>
    <row r="185" spans="1:12" x14ac:dyDescent="0.15">
      <c r="A185" s="2" t="s">
        <v>302</v>
      </c>
      <c r="B185" s="2" t="s">
        <v>303</v>
      </c>
      <c r="C185" s="2" t="s">
        <v>485</v>
      </c>
      <c r="D185" s="2" t="s">
        <v>387</v>
      </c>
      <c r="E185" s="2" t="s">
        <v>388</v>
      </c>
      <c r="F185" s="2" t="s">
        <v>389</v>
      </c>
      <c r="G185" s="2" t="s">
        <v>353</v>
      </c>
      <c r="H185" s="2" t="s">
        <v>390</v>
      </c>
      <c r="I185" s="2" t="s">
        <v>394</v>
      </c>
      <c r="J185" s="2" t="s">
        <v>392</v>
      </c>
      <c r="K185" s="1">
        <v>1</v>
      </c>
      <c r="L185" s="1">
        <v>449.5</v>
      </c>
    </row>
    <row r="186" spans="1:12" x14ac:dyDescent="0.15">
      <c r="A186" s="2" t="s">
        <v>302</v>
      </c>
      <c r="B186" s="2" t="s">
        <v>303</v>
      </c>
      <c r="C186" s="2" t="s">
        <v>485</v>
      </c>
      <c r="D186" s="2" t="s">
        <v>387</v>
      </c>
      <c r="E186" s="2" t="s">
        <v>388</v>
      </c>
      <c r="F186" s="2" t="s">
        <v>400</v>
      </c>
      <c r="G186" s="2" t="s">
        <v>354</v>
      </c>
      <c r="H186" s="2" t="s">
        <v>390</v>
      </c>
      <c r="I186" s="2" t="s">
        <v>394</v>
      </c>
      <c r="J186" s="2" t="s">
        <v>392</v>
      </c>
      <c r="K186" s="1">
        <v>2</v>
      </c>
      <c r="L186" s="1">
        <v>899</v>
      </c>
    </row>
    <row r="187" spans="1:12" x14ac:dyDescent="0.15">
      <c r="A187" s="2" t="s">
        <v>302</v>
      </c>
      <c r="B187" s="2" t="s">
        <v>303</v>
      </c>
      <c r="C187" s="2" t="s">
        <v>485</v>
      </c>
      <c r="D187" s="2" t="s">
        <v>387</v>
      </c>
      <c r="E187" s="2" t="s">
        <v>388</v>
      </c>
      <c r="F187" s="2" t="s">
        <v>397</v>
      </c>
      <c r="G187" s="2" t="s">
        <v>355</v>
      </c>
      <c r="H187" s="2" t="s">
        <v>390</v>
      </c>
      <c r="I187" s="2" t="s">
        <v>391</v>
      </c>
      <c r="J187" s="2" t="s">
        <v>392</v>
      </c>
      <c r="K187" s="1">
        <v>1</v>
      </c>
      <c r="L187" s="1">
        <v>719.2</v>
      </c>
    </row>
    <row r="188" spans="1:12" x14ac:dyDescent="0.15">
      <c r="A188" s="2" t="s">
        <v>302</v>
      </c>
      <c r="B188" s="2" t="s">
        <v>313</v>
      </c>
      <c r="C188" s="2" t="s">
        <v>486</v>
      </c>
      <c r="D188" s="2" t="s">
        <v>387</v>
      </c>
      <c r="E188" s="2" t="s">
        <v>388</v>
      </c>
      <c r="F188" s="2" t="s">
        <v>389</v>
      </c>
      <c r="G188" s="2" t="s">
        <v>353</v>
      </c>
      <c r="H188" s="2" t="s">
        <v>390</v>
      </c>
      <c r="I188" s="2" t="s">
        <v>401</v>
      </c>
      <c r="J188" s="2" t="s">
        <v>392</v>
      </c>
      <c r="K188" s="1">
        <v>1</v>
      </c>
      <c r="L188" s="1">
        <v>572.04</v>
      </c>
    </row>
    <row r="189" spans="1:12" x14ac:dyDescent="0.15">
      <c r="A189" s="2" t="s">
        <v>302</v>
      </c>
      <c r="B189" s="2" t="s">
        <v>311</v>
      </c>
      <c r="C189" s="2" t="s">
        <v>487</v>
      </c>
      <c r="D189" s="2" t="s">
        <v>387</v>
      </c>
      <c r="E189" s="2" t="s">
        <v>388</v>
      </c>
      <c r="F189" s="2" t="s">
        <v>397</v>
      </c>
      <c r="G189" s="2" t="s">
        <v>355</v>
      </c>
      <c r="H189" s="2" t="s">
        <v>390</v>
      </c>
      <c r="I189" s="2" t="s">
        <v>391</v>
      </c>
      <c r="J189" s="2" t="s">
        <v>392</v>
      </c>
      <c r="K189" s="1">
        <v>1</v>
      </c>
      <c r="L189" s="1">
        <v>629.29999999999995</v>
      </c>
    </row>
    <row r="190" spans="1:12" x14ac:dyDescent="0.15">
      <c r="A190" s="2" t="s">
        <v>302</v>
      </c>
      <c r="B190" s="2" t="s">
        <v>309</v>
      </c>
      <c r="C190" s="2" t="s">
        <v>488</v>
      </c>
      <c r="D190" s="2" t="s">
        <v>387</v>
      </c>
      <c r="E190" s="2" t="s">
        <v>388</v>
      </c>
      <c r="F190" s="2" t="s">
        <v>400</v>
      </c>
      <c r="G190" s="2" t="s">
        <v>354</v>
      </c>
      <c r="H190" s="2" t="s">
        <v>390</v>
      </c>
      <c r="I190" s="2" t="s">
        <v>393</v>
      </c>
      <c r="J190" s="2" t="s">
        <v>392</v>
      </c>
      <c r="K190" s="1">
        <v>1</v>
      </c>
      <c r="L190" s="1">
        <v>629.29999999999995</v>
      </c>
    </row>
    <row r="191" spans="1:12" x14ac:dyDescent="0.15">
      <c r="A191" s="2" t="s">
        <v>489</v>
      </c>
      <c r="B191" s="2" t="s">
        <v>490</v>
      </c>
      <c r="C191" s="2" t="s">
        <v>491</v>
      </c>
      <c r="D191" s="2" t="s">
        <v>387</v>
      </c>
      <c r="E191" s="2" t="s">
        <v>388</v>
      </c>
      <c r="F191" s="2" t="s">
        <v>389</v>
      </c>
      <c r="G191" s="2" t="s">
        <v>353</v>
      </c>
      <c r="H191" s="2" t="s">
        <v>390</v>
      </c>
      <c r="I191" s="2" t="s">
        <v>413</v>
      </c>
      <c r="J191" s="2" t="s">
        <v>392</v>
      </c>
      <c r="K191" s="1">
        <v>-1</v>
      </c>
      <c r="L191" s="1">
        <v>-574.37</v>
      </c>
    </row>
    <row r="192" spans="1:12" x14ac:dyDescent="0.15">
      <c r="A192" s="2" t="s">
        <v>489</v>
      </c>
      <c r="B192" s="2" t="s">
        <v>490</v>
      </c>
      <c r="C192" s="2" t="s">
        <v>491</v>
      </c>
      <c r="D192" s="2" t="s">
        <v>387</v>
      </c>
      <c r="E192" s="2" t="s">
        <v>388</v>
      </c>
      <c r="F192" s="2" t="s">
        <v>400</v>
      </c>
      <c r="G192" s="2" t="s">
        <v>354</v>
      </c>
      <c r="H192" s="2" t="s">
        <v>390</v>
      </c>
      <c r="I192" s="2" t="s">
        <v>403</v>
      </c>
      <c r="J192" s="2" t="s">
        <v>392</v>
      </c>
      <c r="K192" s="1">
        <v>1</v>
      </c>
      <c r="L192" s="1">
        <v>562.13</v>
      </c>
    </row>
    <row r="193" spans="1:12" x14ac:dyDescent="0.15">
      <c r="A193" s="2" t="s">
        <v>489</v>
      </c>
      <c r="B193" s="2" t="s">
        <v>490</v>
      </c>
      <c r="C193" s="2" t="s">
        <v>491</v>
      </c>
      <c r="D193" s="2" t="s">
        <v>387</v>
      </c>
      <c r="E193" s="2" t="s">
        <v>388</v>
      </c>
      <c r="F193" s="2" t="s">
        <v>400</v>
      </c>
      <c r="G193" s="2" t="s">
        <v>354</v>
      </c>
      <c r="H193" s="2" t="s">
        <v>390</v>
      </c>
      <c r="I193" s="2" t="s">
        <v>524</v>
      </c>
      <c r="J193" s="2" t="s">
        <v>392</v>
      </c>
      <c r="K193" s="1">
        <v>-1</v>
      </c>
      <c r="L193" s="1">
        <v>-562.13</v>
      </c>
    </row>
    <row r="194" spans="1:12" x14ac:dyDescent="0.15">
      <c r="A194" s="2" t="s">
        <v>492</v>
      </c>
      <c r="B194" s="2" t="s">
        <v>359</v>
      </c>
      <c r="C194" s="2" t="s">
        <v>493</v>
      </c>
      <c r="D194" s="2" t="s">
        <v>387</v>
      </c>
      <c r="E194" s="2" t="s">
        <v>388</v>
      </c>
      <c r="F194" s="2" t="s">
        <v>399</v>
      </c>
      <c r="G194" s="2" t="s">
        <v>352</v>
      </c>
      <c r="H194" s="2" t="s">
        <v>390</v>
      </c>
      <c r="I194" s="2" t="s">
        <v>403</v>
      </c>
      <c r="J194" s="2" t="s">
        <v>392</v>
      </c>
      <c r="K194" s="1">
        <v>1</v>
      </c>
      <c r="L194" s="1">
        <v>583.48</v>
      </c>
    </row>
    <row r="195" spans="1:12" x14ac:dyDescent="0.15">
      <c r="A195" s="2" t="s">
        <v>492</v>
      </c>
      <c r="B195" s="2" t="s">
        <v>359</v>
      </c>
      <c r="C195" s="2" t="s">
        <v>493</v>
      </c>
      <c r="D195" s="2" t="s">
        <v>387</v>
      </c>
      <c r="E195" s="2" t="s">
        <v>388</v>
      </c>
      <c r="F195" s="2" t="s">
        <v>389</v>
      </c>
      <c r="G195" s="2" t="s">
        <v>353</v>
      </c>
      <c r="H195" s="2" t="s">
        <v>390</v>
      </c>
      <c r="I195" s="2" t="s">
        <v>410</v>
      </c>
      <c r="J195" s="2" t="s">
        <v>392</v>
      </c>
      <c r="K195" s="1">
        <v>0</v>
      </c>
      <c r="L195" s="1">
        <v>-152.94999999999999</v>
      </c>
    </row>
    <row r="196" spans="1:12" x14ac:dyDescent="0.15">
      <c r="A196" s="2" t="s">
        <v>492</v>
      </c>
      <c r="B196" s="2" t="s">
        <v>359</v>
      </c>
      <c r="C196" s="2" t="s">
        <v>493</v>
      </c>
      <c r="D196" s="2" t="s">
        <v>387</v>
      </c>
      <c r="E196" s="2" t="s">
        <v>388</v>
      </c>
      <c r="F196" s="2" t="s">
        <v>389</v>
      </c>
      <c r="G196" s="2" t="s">
        <v>353</v>
      </c>
      <c r="H196" s="2" t="s">
        <v>390</v>
      </c>
      <c r="I196" s="2" t="s">
        <v>413</v>
      </c>
      <c r="J196" s="2" t="s">
        <v>392</v>
      </c>
      <c r="K196" s="1">
        <v>1</v>
      </c>
      <c r="L196" s="1">
        <v>570</v>
      </c>
    </row>
    <row r="197" spans="1:12" x14ac:dyDescent="0.15">
      <c r="A197" s="2" t="s">
        <v>492</v>
      </c>
      <c r="B197" s="2" t="s">
        <v>359</v>
      </c>
      <c r="C197" s="2" t="s">
        <v>493</v>
      </c>
      <c r="D197" s="2" t="s">
        <v>387</v>
      </c>
      <c r="E197" s="2" t="s">
        <v>388</v>
      </c>
      <c r="F197" s="2" t="s">
        <v>389</v>
      </c>
      <c r="G197" s="2" t="s">
        <v>353</v>
      </c>
      <c r="H197" s="2" t="s">
        <v>390</v>
      </c>
      <c r="I197" s="2" t="s">
        <v>437</v>
      </c>
      <c r="J197" s="2" t="s">
        <v>392</v>
      </c>
      <c r="K197" s="1">
        <v>0</v>
      </c>
      <c r="L197" s="1">
        <v>0</v>
      </c>
    </row>
    <row r="198" spans="1:12" x14ac:dyDescent="0.15">
      <c r="A198" s="2" t="s">
        <v>492</v>
      </c>
      <c r="B198" s="2" t="s">
        <v>359</v>
      </c>
      <c r="C198" s="2" t="s">
        <v>493</v>
      </c>
      <c r="D198" s="2" t="s">
        <v>387</v>
      </c>
      <c r="E198" s="2" t="s">
        <v>388</v>
      </c>
      <c r="F198" s="2" t="s">
        <v>389</v>
      </c>
      <c r="G198" s="2" t="s">
        <v>353</v>
      </c>
      <c r="H198" s="2" t="s">
        <v>390</v>
      </c>
      <c r="I198" s="2" t="s">
        <v>415</v>
      </c>
      <c r="J198" s="2" t="s">
        <v>392</v>
      </c>
      <c r="K198" s="1">
        <v>0</v>
      </c>
      <c r="L198" s="1">
        <v>-55.09</v>
      </c>
    </row>
    <row r="199" spans="1:12" x14ac:dyDescent="0.15">
      <c r="A199" s="2" t="s">
        <v>492</v>
      </c>
      <c r="B199" s="2" t="s">
        <v>359</v>
      </c>
      <c r="C199" s="2" t="s">
        <v>493</v>
      </c>
      <c r="D199" s="2" t="s">
        <v>387</v>
      </c>
      <c r="E199" s="2" t="s">
        <v>388</v>
      </c>
      <c r="F199" s="2" t="s">
        <v>389</v>
      </c>
      <c r="G199" s="2" t="s">
        <v>353</v>
      </c>
      <c r="H199" s="2" t="s">
        <v>390</v>
      </c>
      <c r="I199" s="2" t="s">
        <v>394</v>
      </c>
      <c r="J199" s="2" t="s">
        <v>392</v>
      </c>
      <c r="K199" s="1">
        <v>1</v>
      </c>
      <c r="L199" s="1">
        <v>584.25</v>
      </c>
    </row>
    <row r="200" spans="1:12" x14ac:dyDescent="0.15">
      <c r="A200" s="2" t="s">
        <v>492</v>
      </c>
      <c r="B200" s="2" t="s">
        <v>359</v>
      </c>
      <c r="C200" s="2" t="s">
        <v>493</v>
      </c>
      <c r="D200" s="2" t="s">
        <v>387</v>
      </c>
      <c r="E200" s="2" t="s">
        <v>388</v>
      </c>
      <c r="F200" s="2" t="s">
        <v>400</v>
      </c>
      <c r="G200" s="2" t="s">
        <v>354</v>
      </c>
      <c r="H200" s="2" t="s">
        <v>390</v>
      </c>
      <c r="I200" s="2" t="s">
        <v>413</v>
      </c>
      <c r="J200" s="2" t="s">
        <v>392</v>
      </c>
      <c r="K200" s="1">
        <v>1</v>
      </c>
      <c r="L200" s="1">
        <v>598.5</v>
      </c>
    </row>
    <row r="201" spans="1:12" x14ac:dyDescent="0.15">
      <c r="A201" s="2" t="s">
        <v>492</v>
      </c>
      <c r="B201" s="2" t="s">
        <v>359</v>
      </c>
      <c r="C201" s="2" t="s">
        <v>493</v>
      </c>
      <c r="D201" s="2" t="s">
        <v>387</v>
      </c>
      <c r="E201" s="2" t="s">
        <v>388</v>
      </c>
      <c r="F201" s="2" t="s">
        <v>400</v>
      </c>
      <c r="G201" s="2" t="s">
        <v>354</v>
      </c>
      <c r="H201" s="2" t="s">
        <v>390</v>
      </c>
      <c r="I201" s="2" t="s">
        <v>446</v>
      </c>
      <c r="J201" s="2" t="s">
        <v>392</v>
      </c>
      <c r="K201" s="1">
        <v>1</v>
      </c>
      <c r="L201" s="1">
        <v>598.5</v>
      </c>
    </row>
    <row r="202" spans="1:12" x14ac:dyDescent="0.15">
      <c r="A202" s="2" t="s">
        <v>492</v>
      </c>
      <c r="B202" s="2" t="s">
        <v>359</v>
      </c>
      <c r="C202" s="2" t="s">
        <v>493</v>
      </c>
      <c r="D202" s="2" t="s">
        <v>387</v>
      </c>
      <c r="E202" s="2" t="s">
        <v>388</v>
      </c>
      <c r="F202" s="2" t="s">
        <v>400</v>
      </c>
      <c r="G202" s="2" t="s">
        <v>354</v>
      </c>
      <c r="H202" s="2" t="s">
        <v>390</v>
      </c>
      <c r="I202" s="2" t="s">
        <v>428</v>
      </c>
      <c r="J202" s="2" t="s">
        <v>392</v>
      </c>
      <c r="K202" s="1">
        <v>-1</v>
      </c>
      <c r="L202" s="1">
        <v>-598.5</v>
      </c>
    </row>
    <row r="203" spans="1:12" x14ac:dyDescent="0.15">
      <c r="A203" s="2" t="s">
        <v>492</v>
      </c>
      <c r="B203" s="2" t="s">
        <v>359</v>
      </c>
      <c r="C203" s="2" t="s">
        <v>493</v>
      </c>
      <c r="D203" s="2" t="s">
        <v>387</v>
      </c>
      <c r="E203" s="2" t="s">
        <v>388</v>
      </c>
      <c r="F203" s="2" t="s">
        <v>400</v>
      </c>
      <c r="G203" s="2" t="s">
        <v>354</v>
      </c>
      <c r="H203" s="2" t="s">
        <v>390</v>
      </c>
      <c r="I203" s="2" t="s">
        <v>406</v>
      </c>
      <c r="J203" s="2" t="s">
        <v>392</v>
      </c>
      <c r="K203" s="1">
        <v>1</v>
      </c>
      <c r="L203" s="1">
        <v>598.5</v>
      </c>
    </row>
    <row r="204" spans="1:12" x14ac:dyDescent="0.15">
      <c r="A204" s="2" t="s">
        <v>492</v>
      </c>
      <c r="B204" s="2" t="s">
        <v>359</v>
      </c>
      <c r="C204" s="2" t="s">
        <v>493</v>
      </c>
      <c r="D204" s="2" t="s">
        <v>387</v>
      </c>
      <c r="E204" s="2" t="s">
        <v>388</v>
      </c>
      <c r="F204" s="2" t="s">
        <v>400</v>
      </c>
      <c r="G204" s="2" t="s">
        <v>354</v>
      </c>
      <c r="H204" s="2" t="s">
        <v>390</v>
      </c>
      <c r="I204" s="2" t="s">
        <v>437</v>
      </c>
      <c r="J204" s="2" t="s">
        <v>392</v>
      </c>
      <c r="K204" s="1">
        <v>0</v>
      </c>
      <c r="L204" s="1">
        <v>-30</v>
      </c>
    </row>
    <row r="205" spans="1:12" x14ac:dyDescent="0.15">
      <c r="A205" s="2" t="s">
        <v>492</v>
      </c>
      <c r="B205" s="2" t="s">
        <v>359</v>
      </c>
      <c r="C205" s="2" t="s">
        <v>493</v>
      </c>
      <c r="D205" s="2" t="s">
        <v>387</v>
      </c>
      <c r="E205" s="2" t="s">
        <v>388</v>
      </c>
      <c r="F205" s="2" t="s">
        <v>400</v>
      </c>
      <c r="G205" s="2" t="s">
        <v>354</v>
      </c>
      <c r="H205" s="2" t="s">
        <v>390</v>
      </c>
      <c r="I205" s="2" t="s">
        <v>414</v>
      </c>
      <c r="J205" s="2" t="s">
        <v>392</v>
      </c>
      <c r="K205" s="1">
        <v>-1</v>
      </c>
      <c r="L205" s="1">
        <v>-598.5</v>
      </c>
    </row>
    <row r="206" spans="1:12" x14ac:dyDescent="0.15">
      <c r="A206" s="2" t="s">
        <v>492</v>
      </c>
      <c r="B206" s="2" t="s">
        <v>359</v>
      </c>
      <c r="C206" s="2" t="s">
        <v>493</v>
      </c>
      <c r="D206" s="2" t="s">
        <v>387</v>
      </c>
      <c r="E206" s="2" t="s">
        <v>388</v>
      </c>
      <c r="F206" s="2" t="s">
        <v>400</v>
      </c>
      <c r="G206" s="2" t="s">
        <v>354</v>
      </c>
      <c r="H206" s="2" t="s">
        <v>390</v>
      </c>
      <c r="I206" s="2" t="s">
        <v>415</v>
      </c>
      <c r="J206" s="2" t="s">
        <v>392</v>
      </c>
      <c r="K206" s="1">
        <v>1</v>
      </c>
      <c r="L206" s="1">
        <v>598.5</v>
      </c>
    </row>
    <row r="207" spans="1:12" x14ac:dyDescent="0.15">
      <c r="A207" s="2" t="s">
        <v>492</v>
      </c>
      <c r="B207" s="2" t="s">
        <v>359</v>
      </c>
      <c r="C207" s="2" t="s">
        <v>493</v>
      </c>
      <c r="D207" s="2" t="s">
        <v>387</v>
      </c>
      <c r="E207" s="2" t="s">
        <v>388</v>
      </c>
      <c r="F207" s="2" t="s">
        <v>400</v>
      </c>
      <c r="G207" s="2" t="s">
        <v>354</v>
      </c>
      <c r="H207" s="2" t="s">
        <v>390</v>
      </c>
      <c r="I207" s="2" t="s">
        <v>393</v>
      </c>
      <c r="J207" s="2" t="s">
        <v>392</v>
      </c>
      <c r="K207" s="1">
        <v>2</v>
      </c>
      <c r="L207" s="1">
        <v>1111.67</v>
      </c>
    </row>
    <row r="208" spans="1:12" x14ac:dyDescent="0.15">
      <c r="A208" s="2" t="s">
        <v>492</v>
      </c>
      <c r="B208" s="2" t="s">
        <v>359</v>
      </c>
      <c r="C208" s="2" t="s">
        <v>493</v>
      </c>
      <c r="D208" s="2" t="s">
        <v>387</v>
      </c>
      <c r="E208" s="2" t="s">
        <v>388</v>
      </c>
      <c r="F208" s="2" t="s">
        <v>400</v>
      </c>
      <c r="G208" s="2" t="s">
        <v>354</v>
      </c>
      <c r="H208" s="2" t="s">
        <v>390</v>
      </c>
      <c r="I208" s="2" t="s">
        <v>394</v>
      </c>
      <c r="J208" s="2" t="s">
        <v>392</v>
      </c>
      <c r="K208" s="1">
        <v>2</v>
      </c>
      <c r="L208" s="1">
        <v>1182.75</v>
      </c>
    </row>
    <row r="209" spans="1:12" x14ac:dyDescent="0.15">
      <c r="A209" s="2" t="s">
        <v>492</v>
      </c>
      <c r="B209" s="2" t="s">
        <v>359</v>
      </c>
      <c r="C209" s="2" t="s">
        <v>493</v>
      </c>
      <c r="D209" s="2" t="s">
        <v>387</v>
      </c>
      <c r="E209" s="2" t="s">
        <v>388</v>
      </c>
      <c r="F209" s="2" t="s">
        <v>400</v>
      </c>
      <c r="G209" s="2" t="s">
        <v>354</v>
      </c>
      <c r="H209" s="2" t="s">
        <v>390</v>
      </c>
      <c r="I209" s="2" t="s">
        <v>398</v>
      </c>
      <c r="J209" s="2" t="s">
        <v>392</v>
      </c>
      <c r="K209" s="1">
        <v>-1</v>
      </c>
      <c r="L209" s="1">
        <v>-587.4</v>
      </c>
    </row>
    <row r="210" spans="1:12" x14ac:dyDescent="0.15">
      <c r="A210" s="2" t="s">
        <v>492</v>
      </c>
      <c r="B210" s="2" t="s">
        <v>359</v>
      </c>
      <c r="C210" s="2" t="s">
        <v>493</v>
      </c>
      <c r="D210" s="2" t="s">
        <v>387</v>
      </c>
      <c r="E210" s="2" t="s">
        <v>388</v>
      </c>
      <c r="F210" s="2" t="s">
        <v>400</v>
      </c>
      <c r="G210" s="2" t="s">
        <v>354</v>
      </c>
      <c r="H210" s="2" t="s">
        <v>390</v>
      </c>
      <c r="I210" s="2" t="s">
        <v>420</v>
      </c>
      <c r="J210" s="2" t="s">
        <v>392</v>
      </c>
      <c r="K210" s="1">
        <v>-1</v>
      </c>
      <c r="L210" s="1">
        <v>-598.5</v>
      </c>
    </row>
    <row r="211" spans="1:12" x14ac:dyDescent="0.15">
      <c r="A211" s="2" t="s">
        <v>492</v>
      </c>
      <c r="B211" s="2" t="s">
        <v>359</v>
      </c>
      <c r="C211" s="2" t="s">
        <v>493</v>
      </c>
      <c r="D211" s="2" t="s">
        <v>387</v>
      </c>
      <c r="E211" s="2" t="s">
        <v>388</v>
      </c>
      <c r="F211" s="2" t="s">
        <v>400</v>
      </c>
      <c r="G211" s="2" t="s">
        <v>354</v>
      </c>
      <c r="H211" s="2" t="s">
        <v>390</v>
      </c>
      <c r="I211" s="2" t="s">
        <v>524</v>
      </c>
      <c r="J211" s="2" t="s">
        <v>392</v>
      </c>
      <c r="K211" s="1">
        <v>-1</v>
      </c>
      <c r="L211" s="1">
        <v>-584.25</v>
      </c>
    </row>
    <row r="212" spans="1:12" x14ac:dyDescent="0.15">
      <c r="A212" s="2" t="s">
        <v>492</v>
      </c>
      <c r="B212" s="2" t="s">
        <v>359</v>
      </c>
      <c r="C212" s="2" t="s">
        <v>493</v>
      </c>
      <c r="D212" s="2" t="s">
        <v>387</v>
      </c>
      <c r="E212" s="2" t="s">
        <v>388</v>
      </c>
      <c r="F212" s="2" t="s">
        <v>397</v>
      </c>
      <c r="G212" s="2" t="s">
        <v>355</v>
      </c>
      <c r="H212" s="2" t="s">
        <v>390</v>
      </c>
      <c r="I212" s="2" t="s">
        <v>391</v>
      </c>
      <c r="J212" s="2" t="s">
        <v>392</v>
      </c>
      <c r="K212" s="1">
        <v>1</v>
      </c>
      <c r="L212" s="1">
        <v>570</v>
      </c>
    </row>
    <row r="213" spans="1:12" x14ac:dyDescent="0.15">
      <c r="A213" s="2" t="s">
        <v>492</v>
      </c>
      <c r="B213" s="2" t="s">
        <v>359</v>
      </c>
      <c r="C213" s="2" t="s">
        <v>493</v>
      </c>
      <c r="D213" s="2" t="s">
        <v>387</v>
      </c>
      <c r="E213" s="2" t="s">
        <v>388</v>
      </c>
      <c r="F213" s="2" t="s">
        <v>397</v>
      </c>
      <c r="G213" s="2" t="s">
        <v>355</v>
      </c>
      <c r="H213" s="2" t="s">
        <v>390</v>
      </c>
      <c r="I213" s="2" t="s">
        <v>409</v>
      </c>
      <c r="J213" s="2" t="s">
        <v>392</v>
      </c>
      <c r="K213" s="1">
        <v>-1</v>
      </c>
      <c r="L213" s="1">
        <v>-570</v>
      </c>
    </row>
    <row r="214" spans="1:12" x14ac:dyDescent="0.15">
      <c r="A214" s="2" t="s">
        <v>492</v>
      </c>
      <c r="B214" s="2" t="s">
        <v>359</v>
      </c>
      <c r="C214" s="2" t="s">
        <v>493</v>
      </c>
      <c r="D214" s="2" t="s">
        <v>387</v>
      </c>
      <c r="E214" s="2" t="s">
        <v>388</v>
      </c>
      <c r="F214" s="2" t="s">
        <v>397</v>
      </c>
      <c r="G214" s="2" t="s">
        <v>355</v>
      </c>
      <c r="H214" s="2" t="s">
        <v>390</v>
      </c>
      <c r="I214" s="2" t="s">
        <v>407</v>
      </c>
      <c r="J214" s="2" t="s">
        <v>392</v>
      </c>
      <c r="K214" s="1">
        <v>1</v>
      </c>
      <c r="L214" s="1">
        <v>556.30999999999995</v>
      </c>
    </row>
    <row r="215" spans="1:12" x14ac:dyDescent="0.15">
      <c r="A215" s="2" t="s">
        <v>492</v>
      </c>
      <c r="B215" s="2" t="s">
        <v>359</v>
      </c>
      <c r="C215" s="2" t="s">
        <v>493</v>
      </c>
      <c r="D215" s="2" t="s">
        <v>387</v>
      </c>
      <c r="E215" s="2" t="s">
        <v>388</v>
      </c>
      <c r="F215" s="2" t="s">
        <v>397</v>
      </c>
      <c r="G215" s="2" t="s">
        <v>355</v>
      </c>
      <c r="H215" s="2" t="s">
        <v>390</v>
      </c>
      <c r="I215" s="2" t="s">
        <v>394</v>
      </c>
      <c r="J215" s="2" t="s">
        <v>392</v>
      </c>
      <c r="K215" s="1">
        <v>1</v>
      </c>
      <c r="L215" s="1">
        <v>598.5</v>
      </c>
    </row>
    <row r="216" spans="1:12" x14ac:dyDescent="0.15">
      <c r="A216" s="2" t="s">
        <v>492</v>
      </c>
      <c r="B216" s="2" t="s">
        <v>359</v>
      </c>
      <c r="C216" s="2" t="s">
        <v>493</v>
      </c>
      <c r="D216" s="2" t="s">
        <v>387</v>
      </c>
      <c r="E216" s="2" t="s">
        <v>388</v>
      </c>
      <c r="F216" s="2" t="s">
        <v>397</v>
      </c>
      <c r="G216" s="2" t="s">
        <v>355</v>
      </c>
      <c r="H216" s="2" t="s">
        <v>390</v>
      </c>
      <c r="I216" s="2" t="s">
        <v>420</v>
      </c>
      <c r="J216" s="2" t="s">
        <v>392</v>
      </c>
      <c r="K216" s="1">
        <v>-1</v>
      </c>
      <c r="L216" s="1">
        <v>-598.5</v>
      </c>
    </row>
    <row r="217" spans="1:12" x14ac:dyDescent="0.15">
      <c r="A217" s="2" t="s">
        <v>494</v>
      </c>
      <c r="B217" s="2" t="s">
        <v>495</v>
      </c>
      <c r="C217" s="2" t="s">
        <v>496</v>
      </c>
      <c r="D217" s="2" t="s">
        <v>387</v>
      </c>
      <c r="E217" s="2" t="s">
        <v>388</v>
      </c>
      <c r="F217" s="2" t="s">
        <v>399</v>
      </c>
      <c r="G217" s="2" t="s">
        <v>352</v>
      </c>
      <c r="H217" s="2" t="s">
        <v>390</v>
      </c>
      <c r="I217" s="2" t="s">
        <v>393</v>
      </c>
      <c r="J217" s="2" t="s">
        <v>392</v>
      </c>
      <c r="K217" s="1">
        <v>1</v>
      </c>
      <c r="L217" s="1">
        <v>269.7</v>
      </c>
    </row>
    <row r="218" spans="1:12" x14ac:dyDescent="0.15">
      <c r="A218" s="2" t="s">
        <v>494</v>
      </c>
      <c r="B218" s="2" t="s">
        <v>495</v>
      </c>
      <c r="C218" s="2" t="s">
        <v>496</v>
      </c>
      <c r="D218" s="2" t="s">
        <v>387</v>
      </c>
      <c r="E218" s="2" t="s">
        <v>388</v>
      </c>
      <c r="F218" s="2" t="s">
        <v>389</v>
      </c>
      <c r="G218" s="2" t="s">
        <v>353</v>
      </c>
      <c r="H218" s="2" t="s">
        <v>390</v>
      </c>
      <c r="I218" s="2" t="s">
        <v>402</v>
      </c>
      <c r="J218" s="2" t="s">
        <v>392</v>
      </c>
      <c r="K218" s="1">
        <v>1</v>
      </c>
      <c r="L218" s="1">
        <v>269.7</v>
      </c>
    </row>
    <row r="219" spans="1:12" x14ac:dyDescent="0.15">
      <c r="A219" s="2" t="s">
        <v>275</v>
      </c>
      <c r="B219" s="2" t="s">
        <v>282</v>
      </c>
      <c r="C219" s="2" t="s">
        <v>497</v>
      </c>
      <c r="D219" s="2" t="s">
        <v>387</v>
      </c>
      <c r="E219" s="2" t="s">
        <v>388</v>
      </c>
      <c r="F219" s="2" t="s">
        <v>389</v>
      </c>
      <c r="G219" s="2" t="s">
        <v>353</v>
      </c>
      <c r="H219" s="2" t="s">
        <v>390</v>
      </c>
      <c r="I219" s="2" t="s">
        <v>401</v>
      </c>
      <c r="J219" s="2" t="s">
        <v>392</v>
      </c>
      <c r="K219" s="1">
        <v>1</v>
      </c>
      <c r="L219" s="1">
        <v>578.78</v>
      </c>
    </row>
    <row r="220" spans="1:12" x14ac:dyDescent="0.15">
      <c r="A220" s="2" t="s">
        <v>275</v>
      </c>
      <c r="B220" s="2" t="s">
        <v>282</v>
      </c>
      <c r="C220" s="2" t="s">
        <v>497</v>
      </c>
      <c r="D220" s="2" t="s">
        <v>387</v>
      </c>
      <c r="E220" s="2" t="s">
        <v>388</v>
      </c>
      <c r="F220" s="2" t="s">
        <v>389</v>
      </c>
      <c r="G220" s="2" t="s">
        <v>353</v>
      </c>
      <c r="H220" s="2" t="s">
        <v>390</v>
      </c>
      <c r="I220" s="2" t="s">
        <v>415</v>
      </c>
      <c r="J220" s="2" t="s">
        <v>392</v>
      </c>
      <c r="K220" s="1">
        <v>1</v>
      </c>
      <c r="L220" s="1">
        <v>269.7</v>
      </c>
    </row>
    <row r="221" spans="1:12" x14ac:dyDescent="0.15">
      <c r="A221" s="2" t="s">
        <v>275</v>
      </c>
      <c r="B221" s="2" t="s">
        <v>282</v>
      </c>
      <c r="C221" s="2" t="s">
        <v>497</v>
      </c>
      <c r="D221" s="2" t="s">
        <v>387</v>
      </c>
      <c r="E221" s="2" t="s">
        <v>388</v>
      </c>
      <c r="F221" s="2" t="s">
        <v>389</v>
      </c>
      <c r="G221" s="2" t="s">
        <v>353</v>
      </c>
      <c r="H221" s="2" t="s">
        <v>390</v>
      </c>
      <c r="I221" s="2" t="s">
        <v>393</v>
      </c>
      <c r="J221" s="2" t="s">
        <v>392</v>
      </c>
      <c r="K221" s="1">
        <v>1</v>
      </c>
      <c r="L221" s="1">
        <v>629.29999999999995</v>
      </c>
    </row>
    <row r="222" spans="1:12" x14ac:dyDescent="0.15">
      <c r="A222" s="2" t="s">
        <v>275</v>
      </c>
      <c r="B222" s="2" t="s">
        <v>282</v>
      </c>
      <c r="C222" s="2" t="s">
        <v>497</v>
      </c>
      <c r="D222" s="2" t="s">
        <v>387</v>
      </c>
      <c r="E222" s="2" t="s">
        <v>388</v>
      </c>
      <c r="F222" s="2" t="s">
        <v>389</v>
      </c>
      <c r="G222" s="2" t="s">
        <v>353</v>
      </c>
      <c r="H222" s="2" t="s">
        <v>390</v>
      </c>
      <c r="I222" s="2" t="s">
        <v>394</v>
      </c>
      <c r="J222" s="2" t="s">
        <v>392</v>
      </c>
      <c r="K222" s="1">
        <v>2</v>
      </c>
      <c r="L222" s="1">
        <v>1258.5999999999999</v>
      </c>
    </row>
    <row r="223" spans="1:12" x14ac:dyDescent="0.15">
      <c r="A223" s="2" t="s">
        <v>275</v>
      </c>
      <c r="B223" s="2" t="s">
        <v>282</v>
      </c>
      <c r="C223" s="2" t="s">
        <v>497</v>
      </c>
      <c r="D223" s="2" t="s">
        <v>387</v>
      </c>
      <c r="E223" s="2" t="s">
        <v>388</v>
      </c>
      <c r="F223" s="2" t="s">
        <v>400</v>
      </c>
      <c r="G223" s="2" t="s">
        <v>354</v>
      </c>
      <c r="H223" s="2" t="s">
        <v>390</v>
      </c>
      <c r="I223" s="2" t="s">
        <v>428</v>
      </c>
      <c r="J223" s="2" t="s">
        <v>392</v>
      </c>
      <c r="K223" s="1">
        <v>1</v>
      </c>
      <c r="L223" s="1">
        <v>269.7</v>
      </c>
    </row>
    <row r="224" spans="1:12" x14ac:dyDescent="0.15">
      <c r="A224" s="2" t="s">
        <v>275</v>
      </c>
      <c r="B224" s="2" t="s">
        <v>282</v>
      </c>
      <c r="C224" s="2" t="s">
        <v>497</v>
      </c>
      <c r="D224" s="2" t="s">
        <v>387</v>
      </c>
      <c r="E224" s="2" t="s">
        <v>388</v>
      </c>
      <c r="F224" s="2" t="s">
        <v>400</v>
      </c>
      <c r="G224" s="2" t="s">
        <v>354</v>
      </c>
      <c r="H224" s="2" t="s">
        <v>390</v>
      </c>
      <c r="I224" s="2" t="s">
        <v>401</v>
      </c>
      <c r="J224" s="2" t="s">
        <v>392</v>
      </c>
      <c r="K224" s="1">
        <v>1</v>
      </c>
      <c r="L224" s="1">
        <v>575.44000000000005</v>
      </c>
    </row>
    <row r="225" spans="1:12" x14ac:dyDescent="0.15">
      <c r="A225" s="2" t="s">
        <v>275</v>
      </c>
      <c r="B225" s="2" t="s">
        <v>282</v>
      </c>
      <c r="C225" s="2" t="s">
        <v>497</v>
      </c>
      <c r="D225" s="2" t="s">
        <v>387</v>
      </c>
      <c r="E225" s="2" t="s">
        <v>388</v>
      </c>
      <c r="F225" s="2" t="s">
        <v>400</v>
      </c>
      <c r="G225" s="2" t="s">
        <v>354</v>
      </c>
      <c r="H225" s="2" t="s">
        <v>390</v>
      </c>
      <c r="I225" s="2" t="s">
        <v>415</v>
      </c>
      <c r="J225" s="2" t="s">
        <v>392</v>
      </c>
      <c r="K225" s="1">
        <v>1</v>
      </c>
      <c r="L225" s="1">
        <v>269.7</v>
      </c>
    </row>
    <row r="226" spans="1:12" x14ac:dyDescent="0.15">
      <c r="A226" s="2" t="s">
        <v>275</v>
      </c>
      <c r="B226" s="2" t="s">
        <v>282</v>
      </c>
      <c r="C226" s="2" t="s">
        <v>497</v>
      </c>
      <c r="D226" s="2" t="s">
        <v>387</v>
      </c>
      <c r="E226" s="2" t="s">
        <v>388</v>
      </c>
      <c r="F226" s="2" t="s">
        <v>400</v>
      </c>
      <c r="G226" s="2" t="s">
        <v>354</v>
      </c>
      <c r="H226" s="2" t="s">
        <v>390</v>
      </c>
      <c r="I226" s="2" t="s">
        <v>394</v>
      </c>
      <c r="J226" s="2" t="s">
        <v>392</v>
      </c>
      <c r="K226" s="1">
        <v>1</v>
      </c>
      <c r="L226" s="1">
        <v>573.04999999999995</v>
      </c>
    </row>
    <row r="227" spans="1:12" x14ac:dyDescent="0.15">
      <c r="A227" s="2" t="s">
        <v>275</v>
      </c>
      <c r="B227" s="2" t="s">
        <v>282</v>
      </c>
      <c r="C227" s="2" t="s">
        <v>497</v>
      </c>
      <c r="D227" s="2" t="s">
        <v>387</v>
      </c>
      <c r="E227" s="2" t="s">
        <v>388</v>
      </c>
      <c r="F227" s="2" t="s">
        <v>397</v>
      </c>
      <c r="G227" s="2" t="s">
        <v>355</v>
      </c>
      <c r="H227" s="2" t="s">
        <v>390</v>
      </c>
      <c r="I227" s="2" t="s">
        <v>417</v>
      </c>
      <c r="J227" s="2" t="s">
        <v>392</v>
      </c>
      <c r="K227" s="1">
        <v>1</v>
      </c>
      <c r="L227" s="1">
        <v>629.29999999999995</v>
      </c>
    </row>
    <row r="228" spans="1:12" x14ac:dyDescent="0.15">
      <c r="A228" s="2" t="s">
        <v>275</v>
      </c>
      <c r="B228" s="2" t="s">
        <v>294</v>
      </c>
      <c r="C228" s="2" t="s">
        <v>498</v>
      </c>
      <c r="D228" s="2" t="s">
        <v>387</v>
      </c>
      <c r="E228" s="2" t="s">
        <v>388</v>
      </c>
      <c r="F228" s="2" t="s">
        <v>389</v>
      </c>
      <c r="G228" s="2" t="s">
        <v>353</v>
      </c>
      <c r="H228" s="2" t="s">
        <v>390</v>
      </c>
      <c r="I228" s="2" t="s">
        <v>394</v>
      </c>
      <c r="J228" s="2" t="s">
        <v>392</v>
      </c>
      <c r="K228" s="1">
        <v>1</v>
      </c>
      <c r="L228" s="1">
        <v>629.29999999999995</v>
      </c>
    </row>
    <row r="229" spans="1:12" x14ac:dyDescent="0.15">
      <c r="A229" s="2" t="s">
        <v>275</v>
      </c>
      <c r="B229" s="2" t="s">
        <v>294</v>
      </c>
      <c r="C229" s="2" t="s">
        <v>498</v>
      </c>
      <c r="D229" s="2" t="s">
        <v>387</v>
      </c>
      <c r="E229" s="2" t="s">
        <v>388</v>
      </c>
      <c r="F229" s="2" t="s">
        <v>389</v>
      </c>
      <c r="G229" s="2" t="s">
        <v>353</v>
      </c>
      <c r="H229" s="2" t="s">
        <v>390</v>
      </c>
      <c r="I229" s="2" t="s">
        <v>431</v>
      </c>
      <c r="J229" s="2" t="s">
        <v>392</v>
      </c>
      <c r="K229" s="1">
        <v>1</v>
      </c>
      <c r="L229" s="1">
        <v>509.3</v>
      </c>
    </row>
    <row r="230" spans="1:12" x14ac:dyDescent="0.15">
      <c r="A230" s="2" t="s">
        <v>275</v>
      </c>
      <c r="B230" s="2" t="s">
        <v>294</v>
      </c>
      <c r="C230" s="2" t="s">
        <v>498</v>
      </c>
      <c r="D230" s="2" t="s">
        <v>387</v>
      </c>
      <c r="E230" s="2" t="s">
        <v>388</v>
      </c>
      <c r="F230" s="2" t="s">
        <v>400</v>
      </c>
      <c r="G230" s="2" t="s">
        <v>354</v>
      </c>
      <c r="H230" s="2" t="s">
        <v>390</v>
      </c>
      <c r="I230" s="2" t="s">
        <v>413</v>
      </c>
      <c r="J230" s="2" t="s">
        <v>392</v>
      </c>
      <c r="K230" s="1">
        <v>1</v>
      </c>
      <c r="L230" s="1">
        <v>629.29999999999995</v>
      </c>
    </row>
    <row r="231" spans="1:12" x14ac:dyDescent="0.15">
      <c r="A231" s="2" t="s">
        <v>275</v>
      </c>
      <c r="B231" s="2" t="s">
        <v>294</v>
      </c>
      <c r="C231" s="2" t="s">
        <v>498</v>
      </c>
      <c r="D231" s="2" t="s">
        <v>387</v>
      </c>
      <c r="E231" s="2" t="s">
        <v>388</v>
      </c>
      <c r="F231" s="2" t="s">
        <v>397</v>
      </c>
      <c r="G231" s="2" t="s">
        <v>355</v>
      </c>
      <c r="H231" s="2" t="s">
        <v>390</v>
      </c>
      <c r="I231" s="2" t="s">
        <v>432</v>
      </c>
      <c r="J231" s="2" t="s">
        <v>392</v>
      </c>
      <c r="K231" s="1">
        <v>1</v>
      </c>
      <c r="L231" s="1">
        <v>719.2</v>
      </c>
    </row>
    <row r="232" spans="1:12" x14ac:dyDescent="0.15">
      <c r="A232" s="2" t="s">
        <v>275</v>
      </c>
      <c r="B232" s="2" t="s">
        <v>294</v>
      </c>
      <c r="C232" s="2" t="s">
        <v>498</v>
      </c>
      <c r="D232" s="2" t="s">
        <v>387</v>
      </c>
      <c r="E232" s="2" t="s">
        <v>388</v>
      </c>
      <c r="F232" s="2" t="s">
        <v>397</v>
      </c>
      <c r="G232" s="2" t="s">
        <v>355</v>
      </c>
      <c r="H232" s="2" t="s">
        <v>390</v>
      </c>
      <c r="I232" s="2" t="s">
        <v>415</v>
      </c>
      <c r="J232" s="2" t="s">
        <v>392</v>
      </c>
      <c r="K232" s="1">
        <v>1</v>
      </c>
      <c r="L232" s="1">
        <v>509.3</v>
      </c>
    </row>
    <row r="233" spans="1:12" x14ac:dyDescent="0.15">
      <c r="A233" s="2" t="s">
        <v>275</v>
      </c>
      <c r="B233" s="2" t="s">
        <v>284</v>
      </c>
      <c r="C233" s="2" t="s">
        <v>499</v>
      </c>
      <c r="D233" s="2" t="s">
        <v>387</v>
      </c>
      <c r="E233" s="2" t="s">
        <v>388</v>
      </c>
      <c r="F233" s="2" t="s">
        <v>389</v>
      </c>
      <c r="G233" s="2" t="s">
        <v>353</v>
      </c>
      <c r="H233" s="2" t="s">
        <v>390</v>
      </c>
      <c r="I233" s="2" t="s">
        <v>415</v>
      </c>
      <c r="J233" s="2" t="s">
        <v>392</v>
      </c>
      <c r="K233" s="1">
        <v>1</v>
      </c>
      <c r="L233" s="1">
        <v>579.29999999999995</v>
      </c>
    </row>
    <row r="234" spans="1:12" x14ac:dyDescent="0.15">
      <c r="A234" s="2" t="s">
        <v>275</v>
      </c>
      <c r="B234" s="2" t="s">
        <v>284</v>
      </c>
      <c r="C234" s="2" t="s">
        <v>499</v>
      </c>
      <c r="D234" s="2" t="s">
        <v>387</v>
      </c>
      <c r="E234" s="2" t="s">
        <v>388</v>
      </c>
      <c r="F234" s="2" t="s">
        <v>389</v>
      </c>
      <c r="G234" s="2" t="s">
        <v>353</v>
      </c>
      <c r="H234" s="2" t="s">
        <v>390</v>
      </c>
      <c r="I234" s="2" t="s">
        <v>393</v>
      </c>
      <c r="J234" s="2" t="s">
        <v>392</v>
      </c>
      <c r="K234" s="1">
        <v>-1</v>
      </c>
      <c r="L234" s="1">
        <v>-899</v>
      </c>
    </row>
    <row r="235" spans="1:12" x14ac:dyDescent="0.15">
      <c r="A235" s="2" t="s">
        <v>275</v>
      </c>
      <c r="B235" s="2" t="s">
        <v>284</v>
      </c>
      <c r="C235" s="2" t="s">
        <v>499</v>
      </c>
      <c r="D235" s="2" t="s">
        <v>387</v>
      </c>
      <c r="E235" s="2" t="s">
        <v>388</v>
      </c>
      <c r="F235" s="2" t="s">
        <v>389</v>
      </c>
      <c r="G235" s="2" t="s">
        <v>353</v>
      </c>
      <c r="H235" s="2" t="s">
        <v>390</v>
      </c>
      <c r="I235" s="2" t="s">
        <v>423</v>
      </c>
      <c r="J235" s="2" t="s">
        <v>392</v>
      </c>
      <c r="K235" s="1">
        <v>-1</v>
      </c>
      <c r="L235" s="1">
        <v>-899</v>
      </c>
    </row>
    <row r="236" spans="1:12" x14ac:dyDescent="0.15">
      <c r="A236" s="2" t="s">
        <v>275</v>
      </c>
      <c r="B236" s="2" t="s">
        <v>284</v>
      </c>
      <c r="C236" s="2" t="s">
        <v>499</v>
      </c>
      <c r="D236" s="2" t="s">
        <v>387</v>
      </c>
      <c r="E236" s="2" t="s">
        <v>388</v>
      </c>
      <c r="F236" s="2" t="s">
        <v>400</v>
      </c>
      <c r="G236" s="2" t="s">
        <v>354</v>
      </c>
      <c r="H236" s="2" t="s">
        <v>390</v>
      </c>
      <c r="I236" s="2" t="s">
        <v>411</v>
      </c>
      <c r="J236" s="2" t="s">
        <v>392</v>
      </c>
      <c r="K236" s="1">
        <v>2</v>
      </c>
      <c r="L236" s="1">
        <v>1528.3</v>
      </c>
    </row>
    <row r="237" spans="1:12" x14ac:dyDescent="0.15">
      <c r="A237" s="2" t="s">
        <v>275</v>
      </c>
      <c r="B237" s="2" t="s">
        <v>284</v>
      </c>
      <c r="C237" s="2" t="s">
        <v>499</v>
      </c>
      <c r="D237" s="2" t="s">
        <v>387</v>
      </c>
      <c r="E237" s="2" t="s">
        <v>388</v>
      </c>
      <c r="F237" s="2" t="s">
        <v>400</v>
      </c>
      <c r="G237" s="2" t="s">
        <v>354</v>
      </c>
      <c r="H237" s="2" t="s">
        <v>390</v>
      </c>
      <c r="I237" s="2" t="s">
        <v>413</v>
      </c>
      <c r="J237" s="2" t="s">
        <v>392</v>
      </c>
      <c r="K237" s="1">
        <v>-1</v>
      </c>
      <c r="L237" s="1">
        <v>-899</v>
      </c>
    </row>
    <row r="238" spans="1:12" x14ac:dyDescent="0.15">
      <c r="A238" s="2" t="s">
        <v>275</v>
      </c>
      <c r="B238" s="2" t="s">
        <v>284</v>
      </c>
      <c r="C238" s="2" t="s">
        <v>499</v>
      </c>
      <c r="D238" s="2" t="s">
        <v>387</v>
      </c>
      <c r="E238" s="2" t="s">
        <v>388</v>
      </c>
      <c r="F238" s="2" t="s">
        <v>400</v>
      </c>
      <c r="G238" s="2" t="s">
        <v>354</v>
      </c>
      <c r="H238" s="2" t="s">
        <v>390</v>
      </c>
      <c r="I238" s="2" t="s">
        <v>423</v>
      </c>
      <c r="J238" s="2" t="s">
        <v>392</v>
      </c>
      <c r="K238" s="1">
        <v>4</v>
      </c>
      <c r="L238" s="1">
        <v>3326.3</v>
      </c>
    </row>
    <row r="239" spans="1:12" x14ac:dyDescent="0.15">
      <c r="A239" s="2" t="s">
        <v>275</v>
      </c>
      <c r="B239" s="2" t="s">
        <v>284</v>
      </c>
      <c r="C239" s="2" t="s">
        <v>499</v>
      </c>
      <c r="D239" s="2" t="s">
        <v>387</v>
      </c>
      <c r="E239" s="2" t="s">
        <v>388</v>
      </c>
      <c r="F239" s="2" t="s">
        <v>397</v>
      </c>
      <c r="G239" s="2" t="s">
        <v>355</v>
      </c>
      <c r="H239" s="2" t="s">
        <v>390</v>
      </c>
      <c r="I239" s="2" t="s">
        <v>411</v>
      </c>
      <c r="J239" s="2" t="s">
        <v>392</v>
      </c>
      <c r="K239" s="1">
        <v>-1</v>
      </c>
      <c r="L239" s="1">
        <v>-899</v>
      </c>
    </row>
    <row r="240" spans="1:12" x14ac:dyDescent="0.15">
      <c r="A240" s="2" t="s">
        <v>275</v>
      </c>
      <c r="B240" s="2" t="s">
        <v>284</v>
      </c>
      <c r="C240" s="2" t="s">
        <v>499</v>
      </c>
      <c r="D240" s="2" t="s">
        <v>387</v>
      </c>
      <c r="E240" s="2" t="s">
        <v>388</v>
      </c>
      <c r="F240" s="2" t="s">
        <v>397</v>
      </c>
      <c r="G240" s="2" t="s">
        <v>355</v>
      </c>
      <c r="H240" s="2" t="s">
        <v>390</v>
      </c>
      <c r="I240" s="2" t="s">
        <v>413</v>
      </c>
      <c r="J240" s="2" t="s">
        <v>392</v>
      </c>
      <c r="K240" s="1">
        <v>1</v>
      </c>
      <c r="L240" s="1">
        <v>899</v>
      </c>
    </row>
    <row r="241" spans="1:12" x14ac:dyDescent="0.15">
      <c r="A241" s="2" t="s">
        <v>275</v>
      </c>
      <c r="B241" s="2" t="s">
        <v>284</v>
      </c>
      <c r="C241" s="2" t="s">
        <v>499</v>
      </c>
      <c r="D241" s="2" t="s">
        <v>387</v>
      </c>
      <c r="E241" s="2" t="s">
        <v>388</v>
      </c>
      <c r="F241" s="2" t="s">
        <v>397</v>
      </c>
      <c r="G241" s="2" t="s">
        <v>355</v>
      </c>
      <c r="H241" s="2" t="s">
        <v>390</v>
      </c>
      <c r="I241" s="2" t="s">
        <v>393</v>
      </c>
      <c r="J241" s="2" t="s">
        <v>392</v>
      </c>
      <c r="K241" s="1">
        <v>2</v>
      </c>
      <c r="L241" s="1">
        <v>1528.3</v>
      </c>
    </row>
    <row r="242" spans="1:12" x14ac:dyDescent="0.15">
      <c r="A242" s="2" t="s">
        <v>275</v>
      </c>
      <c r="B242" s="2" t="s">
        <v>284</v>
      </c>
      <c r="C242" s="2" t="s">
        <v>499</v>
      </c>
      <c r="D242" s="2" t="s">
        <v>387</v>
      </c>
      <c r="E242" s="2" t="s">
        <v>388</v>
      </c>
      <c r="F242" s="2" t="s">
        <v>397</v>
      </c>
      <c r="G242" s="2" t="s">
        <v>355</v>
      </c>
      <c r="H242" s="2" t="s">
        <v>390</v>
      </c>
      <c r="I242" s="2" t="s">
        <v>394</v>
      </c>
      <c r="J242" s="2" t="s">
        <v>392</v>
      </c>
      <c r="K242" s="1">
        <v>1</v>
      </c>
      <c r="L242" s="1">
        <v>569.29999999999995</v>
      </c>
    </row>
    <row r="243" spans="1:12" x14ac:dyDescent="0.15">
      <c r="A243" s="2" t="s">
        <v>275</v>
      </c>
      <c r="B243" s="2" t="s">
        <v>284</v>
      </c>
      <c r="C243" s="2" t="s">
        <v>499</v>
      </c>
      <c r="D243" s="2" t="s">
        <v>387</v>
      </c>
      <c r="E243" s="2" t="s">
        <v>388</v>
      </c>
      <c r="F243" s="2" t="s">
        <v>397</v>
      </c>
      <c r="G243" s="2" t="s">
        <v>355</v>
      </c>
      <c r="H243" s="2" t="s">
        <v>390</v>
      </c>
      <c r="I243" s="2" t="s">
        <v>423</v>
      </c>
      <c r="J243" s="2" t="s">
        <v>392</v>
      </c>
      <c r="K243" s="1">
        <v>-1</v>
      </c>
      <c r="L243" s="1">
        <v>-899</v>
      </c>
    </row>
    <row r="244" spans="1:12" x14ac:dyDescent="0.15">
      <c r="A244" s="2" t="s">
        <v>275</v>
      </c>
      <c r="B244" s="2" t="s">
        <v>276</v>
      </c>
      <c r="C244" s="2" t="s">
        <v>500</v>
      </c>
      <c r="D244" s="2" t="s">
        <v>387</v>
      </c>
      <c r="E244" s="2" t="s">
        <v>388</v>
      </c>
      <c r="F244" s="2" t="s">
        <v>399</v>
      </c>
      <c r="G244" s="2" t="s">
        <v>352</v>
      </c>
      <c r="H244" s="2" t="s">
        <v>390</v>
      </c>
      <c r="I244" s="2" t="s">
        <v>391</v>
      </c>
      <c r="J244" s="2" t="s">
        <v>392</v>
      </c>
      <c r="K244" s="1">
        <v>2</v>
      </c>
      <c r="L244" s="1">
        <v>1191.94</v>
      </c>
    </row>
    <row r="245" spans="1:12" x14ac:dyDescent="0.15">
      <c r="A245" s="2" t="s">
        <v>275</v>
      </c>
      <c r="B245" s="2" t="s">
        <v>276</v>
      </c>
      <c r="C245" s="2" t="s">
        <v>500</v>
      </c>
      <c r="D245" s="2" t="s">
        <v>387</v>
      </c>
      <c r="E245" s="2" t="s">
        <v>388</v>
      </c>
      <c r="F245" s="2" t="s">
        <v>399</v>
      </c>
      <c r="G245" s="2" t="s">
        <v>352</v>
      </c>
      <c r="H245" s="2" t="s">
        <v>390</v>
      </c>
      <c r="I245" s="2" t="s">
        <v>417</v>
      </c>
      <c r="J245" s="2" t="s">
        <v>392</v>
      </c>
      <c r="K245" s="1">
        <v>1</v>
      </c>
      <c r="L245" s="1">
        <v>579.29999999999995</v>
      </c>
    </row>
    <row r="246" spans="1:12" x14ac:dyDescent="0.15">
      <c r="A246" s="2" t="s">
        <v>275</v>
      </c>
      <c r="B246" s="2" t="s">
        <v>276</v>
      </c>
      <c r="C246" s="2" t="s">
        <v>500</v>
      </c>
      <c r="D246" s="2" t="s">
        <v>387</v>
      </c>
      <c r="E246" s="2" t="s">
        <v>388</v>
      </c>
      <c r="F246" s="2" t="s">
        <v>399</v>
      </c>
      <c r="G246" s="2" t="s">
        <v>352</v>
      </c>
      <c r="H246" s="2" t="s">
        <v>390</v>
      </c>
      <c r="I246" s="2" t="s">
        <v>403</v>
      </c>
      <c r="J246" s="2" t="s">
        <v>392</v>
      </c>
      <c r="K246" s="1">
        <v>1</v>
      </c>
      <c r="L246" s="1">
        <v>417.36</v>
      </c>
    </row>
    <row r="247" spans="1:12" x14ac:dyDescent="0.15">
      <c r="A247" s="2" t="s">
        <v>275</v>
      </c>
      <c r="B247" s="2" t="s">
        <v>276</v>
      </c>
      <c r="C247" s="2" t="s">
        <v>500</v>
      </c>
      <c r="D247" s="2" t="s">
        <v>387</v>
      </c>
      <c r="E247" s="2" t="s">
        <v>388</v>
      </c>
      <c r="F247" s="2" t="s">
        <v>399</v>
      </c>
      <c r="G247" s="2" t="s">
        <v>352</v>
      </c>
      <c r="H247" s="2" t="s">
        <v>390</v>
      </c>
      <c r="I247" s="2" t="s">
        <v>398</v>
      </c>
      <c r="J247" s="2" t="s">
        <v>392</v>
      </c>
      <c r="K247" s="1">
        <v>1</v>
      </c>
      <c r="L247" s="1">
        <v>406.38</v>
      </c>
    </row>
    <row r="248" spans="1:12" x14ac:dyDescent="0.15">
      <c r="A248" s="2" t="s">
        <v>275</v>
      </c>
      <c r="B248" s="2" t="s">
        <v>276</v>
      </c>
      <c r="C248" s="2" t="s">
        <v>500</v>
      </c>
      <c r="D248" s="2" t="s">
        <v>387</v>
      </c>
      <c r="E248" s="2" t="s">
        <v>388</v>
      </c>
      <c r="F248" s="2" t="s">
        <v>399</v>
      </c>
      <c r="G248" s="2" t="s">
        <v>352</v>
      </c>
      <c r="H248" s="2" t="s">
        <v>390</v>
      </c>
      <c r="I248" s="2" t="s">
        <v>420</v>
      </c>
      <c r="J248" s="2" t="s">
        <v>392</v>
      </c>
      <c r="K248" s="1">
        <v>1</v>
      </c>
      <c r="L248" s="1">
        <v>419.5</v>
      </c>
    </row>
    <row r="249" spans="1:12" x14ac:dyDescent="0.15">
      <c r="A249" s="2" t="s">
        <v>275</v>
      </c>
      <c r="B249" s="2" t="s">
        <v>276</v>
      </c>
      <c r="C249" s="2" t="s">
        <v>500</v>
      </c>
      <c r="D249" s="2" t="s">
        <v>387</v>
      </c>
      <c r="E249" s="2" t="s">
        <v>388</v>
      </c>
      <c r="F249" s="2" t="s">
        <v>389</v>
      </c>
      <c r="G249" s="2" t="s">
        <v>353</v>
      </c>
      <c r="H249" s="2" t="s">
        <v>390</v>
      </c>
      <c r="I249" s="2" t="s">
        <v>455</v>
      </c>
      <c r="J249" s="2" t="s">
        <v>392</v>
      </c>
      <c r="K249" s="1">
        <v>1</v>
      </c>
      <c r="L249" s="1">
        <v>579.29999999999995</v>
      </c>
    </row>
    <row r="250" spans="1:12" x14ac:dyDescent="0.15">
      <c r="A250" s="2" t="s">
        <v>275</v>
      </c>
      <c r="B250" s="2" t="s">
        <v>276</v>
      </c>
      <c r="C250" s="2" t="s">
        <v>500</v>
      </c>
      <c r="D250" s="2" t="s">
        <v>387</v>
      </c>
      <c r="E250" s="2" t="s">
        <v>388</v>
      </c>
      <c r="F250" s="2" t="s">
        <v>389</v>
      </c>
      <c r="G250" s="2" t="s">
        <v>353</v>
      </c>
      <c r="H250" s="2" t="s">
        <v>390</v>
      </c>
      <c r="I250" s="2" t="s">
        <v>391</v>
      </c>
      <c r="J250" s="2" t="s">
        <v>392</v>
      </c>
      <c r="K250" s="1">
        <v>1</v>
      </c>
      <c r="L250" s="1">
        <v>612.63</v>
      </c>
    </row>
    <row r="251" spans="1:12" x14ac:dyDescent="0.15">
      <c r="A251" s="2" t="s">
        <v>275</v>
      </c>
      <c r="B251" s="2" t="s">
        <v>276</v>
      </c>
      <c r="C251" s="2" t="s">
        <v>500</v>
      </c>
      <c r="D251" s="2" t="s">
        <v>387</v>
      </c>
      <c r="E251" s="2" t="s">
        <v>388</v>
      </c>
      <c r="F251" s="2" t="s">
        <v>389</v>
      </c>
      <c r="G251" s="2" t="s">
        <v>353</v>
      </c>
      <c r="H251" s="2" t="s">
        <v>390</v>
      </c>
      <c r="I251" s="2" t="s">
        <v>410</v>
      </c>
      <c r="J251" s="2" t="s">
        <v>392</v>
      </c>
      <c r="K251" s="1">
        <v>1</v>
      </c>
      <c r="L251" s="1">
        <v>629.29999999999995</v>
      </c>
    </row>
    <row r="252" spans="1:12" x14ac:dyDescent="0.15">
      <c r="A252" s="2" t="s">
        <v>275</v>
      </c>
      <c r="B252" s="2" t="s">
        <v>276</v>
      </c>
      <c r="C252" s="2" t="s">
        <v>500</v>
      </c>
      <c r="D252" s="2" t="s">
        <v>387</v>
      </c>
      <c r="E252" s="2" t="s">
        <v>388</v>
      </c>
      <c r="F252" s="2" t="s">
        <v>389</v>
      </c>
      <c r="G252" s="2" t="s">
        <v>353</v>
      </c>
      <c r="H252" s="2" t="s">
        <v>390</v>
      </c>
      <c r="I252" s="2" t="s">
        <v>413</v>
      </c>
      <c r="J252" s="2" t="s">
        <v>392</v>
      </c>
      <c r="K252" s="1">
        <v>1</v>
      </c>
      <c r="L252" s="1">
        <v>629.29999999999995</v>
      </c>
    </row>
    <row r="253" spans="1:12" x14ac:dyDescent="0.15">
      <c r="A253" s="2" t="s">
        <v>275</v>
      </c>
      <c r="B253" s="2" t="s">
        <v>276</v>
      </c>
      <c r="C253" s="2" t="s">
        <v>500</v>
      </c>
      <c r="D253" s="2" t="s">
        <v>387</v>
      </c>
      <c r="E253" s="2" t="s">
        <v>388</v>
      </c>
      <c r="F253" s="2" t="s">
        <v>389</v>
      </c>
      <c r="G253" s="2" t="s">
        <v>353</v>
      </c>
      <c r="H253" s="2" t="s">
        <v>390</v>
      </c>
      <c r="I253" s="2" t="s">
        <v>402</v>
      </c>
      <c r="J253" s="2" t="s">
        <v>392</v>
      </c>
      <c r="K253" s="1">
        <v>1</v>
      </c>
      <c r="L253" s="1">
        <v>629.29999999999995</v>
      </c>
    </row>
    <row r="254" spans="1:12" x14ac:dyDescent="0.15">
      <c r="A254" s="2" t="s">
        <v>275</v>
      </c>
      <c r="B254" s="2" t="s">
        <v>276</v>
      </c>
      <c r="C254" s="2" t="s">
        <v>500</v>
      </c>
      <c r="D254" s="2" t="s">
        <v>387</v>
      </c>
      <c r="E254" s="2" t="s">
        <v>388</v>
      </c>
      <c r="F254" s="2" t="s">
        <v>389</v>
      </c>
      <c r="G254" s="2" t="s">
        <v>353</v>
      </c>
      <c r="H254" s="2" t="s">
        <v>390</v>
      </c>
      <c r="I254" s="2" t="s">
        <v>394</v>
      </c>
      <c r="J254" s="2" t="s">
        <v>392</v>
      </c>
      <c r="K254" s="1">
        <v>2</v>
      </c>
      <c r="L254" s="1">
        <v>1258.5999999999999</v>
      </c>
    </row>
    <row r="255" spans="1:12" x14ac:dyDescent="0.15">
      <c r="A255" s="2" t="s">
        <v>275</v>
      </c>
      <c r="B255" s="2" t="s">
        <v>276</v>
      </c>
      <c r="C255" s="2" t="s">
        <v>500</v>
      </c>
      <c r="D255" s="2" t="s">
        <v>387</v>
      </c>
      <c r="E255" s="2" t="s">
        <v>388</v>
      </c>
      <c r="F255" s="2" t="s">
        <v>389</v>
      </c>
      <c r="G255" s="2" t="s">
        <v>353</v>
      </c>
      <c r="H255" s="2" t="s">
        <v>390</v>
      </c>
      <c r="I255" s="2" t="s">
        <v>403</v>
      </c>
      <c r="J255" s="2" t="s">
        <v>392</v>
      </c>
      <c r="K255" s="1">
        <v>4</v>
      </c>
      <c r="L255" s="1">
        <v>1721.96</v>
      </c>
    </row>
    <row r="256" spans="1:12" x14ac:dyDescent="0.15">
      <c r="A256" s="2" t="s">
        <v>275</v>
      </c>
      <c r="B256" s="2" t="s">
        <v>276</v>
      </c>
      <c r="C256" s="2" t="s">
        <v>500</v>
      </c>
      <c r="D256" s="2" t="s">
        <v>387</v>
      </c>
      <c r="E256" s="2" t="s">
        <v>388</v>
      </c>
      <c r="F256" s="2" t="s">
        <v>389</v>
      </c>
      <c r="G256" s="2" t="s">
        <v>353</v>
      </c>
      <c r="H256" s="2" t="s">
        <v>390</v>
      </c>
      <c r="I256" s="2" t="s">
        <v>431</v>
      </c>
      <c r="J256" s="2" t="s">
        <v>392</v>
      </c>
      <c r="K256" s="1">
        <v>3</v>
      </c>
      <c r="L256" s="1">
        <v>1613.36</v>
      </c>
    </row>
    <row r="257" spans="1:12" x14ac:dyDescent="0.15">
      <c r="A257" s="2" t="s">
        <v>275</v>
      </c>
      <c r="B257" s="2" t="s">
        <v>276</v>
      </c>
      <c r="C257" s="2" t="s">
        <v>500</v>
      </c>
      <c r="D257" s="2" t="s">
        <v>387</v>
      </c>
      <c r="E257" s="2" t="s">
        <v>388</v>
      </c>
      <c r="F257" s="2" t="s">
        <v>389</v>
      </c>
      <c r="G257" s="2" t="s">
        <v>353</v>
      </c>
      <c r="H257" s="2" t="s">
        <v>390</v>
      </c>
      <c r="I257" s="2" t="s">
        <v>398</v>
      </c>
      <c r="J257" s="2" t="s">
        <v>392</v>
      </c>
      <c r="K257" s="1">
        <v>3</v>
      </c>
      <c r="L257" s="1">
        <v>1490.27</v>
      </c>
    </row>
    <row r="258" spans="1:12" x14ac:dyDescent="0.15">
      <c r="A258" s="2" t="s">
        <v>275</v>
      </c>
      <c r="B258" s="2" t="s">
        <v>276</v>
      </c>
      <c r="C258" s="2" t="s">
        <v>500</v>
      </c>
      <c r="D258" s="2" t="s">
        <v>387</v>
      </c>
      <c r="E258" s="2" t="s">
        <v>388</v>
      </c>
      <c r="F258" s="2" t="s">
        <v>389</v>
      </c>
      <c r="G258" s="2" t="s">
        <v>353</v>
      </c>
      <c r="H258" s="2" t="s">
        <v>390</v>
      </c>
      <c r="I258" s="2" t="s">
        <v>420</v>
      </c>
      <c r="J258" s="2" t="s">
        <v>392</v>
      </c>
      <c r="K258" s="1">
        <v>1</v>
      </c>
      <c r="L258" s="1">
        <v>449.5</v>
      </c>
    </row>
    <row r="259" spans="1:12" x14ac:dyDescent="0.15">
      <c r="A259" s="2" t="s">
        <v>275</v>
      </c>
      <c r="B259" s="2" t="s">
        <v>276</v>
      </c>
      <c r="C259" s="2" t="s">
        <v>500</v>
      </c>
      <c r="D259" s="2" t="s">
        <v>387</v>
      </c>
      <c r="E259" s="2" t="s">
        <v>388</v>
      </c>
      <c r="F259" s="2" t="s">
        <v>389</v>
      </c>
      <c r="G259" s="2" t="s">
        <v>353</v>
      </c>
      <c r="H259" s="2" t="s">
        <v>390</v>
      </c>
      <c r="I259" s="2" t="s">
        <v>423</v>
      </c>
      <c r="J259" s="2" t="s">
        <v>392</v>
      </c>
      <c r="K259" s="1">
        <v>2</v>
      </c>
      <c r="L259" s="1">
        <v>899</v>
      </c>
    </row>
    <row r="260" spans="1:12" x14ac:dyDescent="0.15">
      <c r="A260" s="2" t="s">
        <v>275</v>
      </c>
      <c r="B260" s="2" t="s">
        <v>276</v>
      </c>
      <c r="C260" s="2" t="s">
        <v>500</v>
      </c>
      <c r="D260" s="2" t="s">
        <v>387</v>
      </c>
      <c r="E260" s="2" t="s">
        <v>388</v>
      </c>
      <c r="F260" s="2" t="s">
        <v>389</v>
      </c>
      <c r="G260" s="2" t="s">
        <v>353</v>
      </c>
      <c r="H260" s="2" t="s">
        <v>390</v>
      </c>
      <c r="I260" s="2" t="s">
        <v>524</v>
      </c>
      <c r="J260" s="2" t="s">
        <v>392</v>
      </c>
      <c r="K260" s="1">
        <v>1</v>
      </c>
      <c r="L260" s="1">
        <v>531.47</v>
      </c>
    </row>
    <row r="261" spans="1:12" x14ac:dyDescent="0.15">
      <c r="A261" s="2" t="s">
        <v>275</v>
      </c>
      <c r="B261" s="2" t="s">
        <v>276</v>
      </c>
      <c r="C261" s="2" t="s">
        <v>500</v>
      </c>
      <c r="D261" s="2" t="s">
        <v>387</v>
      </c>
      <c r="E261" s="2" t="s">
        <v>388</v>
      </c>
      <c r="F261" s="2" t="s">
        <v>400</v>
      </c>
      <c r="G261" s="2" t="s">
        <v>354</v>
      </c>
      <c r="H261" s="2" t="s">
        <v>390</v>
      </c>
      <c r="I261" s="2" t="s">
        <v>455</v>
      </c>
      <c r="J261" s="2" t="s">
        <v>392</v>
      </c>
      <c r="K261" s="1">
        <v>1</v>
      </c>
      <c r="L261" s="1">
        <v>579.29999999999995</v>
      </c>
    </row>
    <row r="262" spans="1:12" x14ac:dyDescent="0.15">
      <c r="A262" s="2" t="s">
        <v>275</v>
      </c>
      <c r="B262" s="2" t="s">
        <v>276</v>
      </c>
      <c r="C262" s="2" t="s">
        <v>500</v>
      </c>
      <c r="D262" s="2" t="s">
        <v>387</v>
      </c>
      <c r="E262" s="2" t="s">
        <v>388</v>
      </c>
      <c r="F262" s="2" t="s">
        <v>400</v>
      </c>
      <c r="G262" s="2" t="s">
        <v>354</v>
      </c>
      <c r="H262" s="2" t="s">
        <v>390</v>
      </c>
      <c r="I262" s="2" t="s">
        <v>413</v>
      </c>
      <c r="J262" s="2" t="s">
        <v>392</v>
      </c>
      <c r="K262" s="1">
        <v>1</v>
      </c>
      <c r="L262" s="1">
        <v>629.29999999999995</v>
      </c>
    </row>
    <row r="263" spans="1:12" x14ac:dyDescent="0.15">
      <c r="A263" s="2" t="s">
        <v>275</v>
      </c>
      <c r="B263" s="2" t="s">
        <v>276</v>
      </c>
      <c r="C263" s="2" t="s">
        <v>500</v>
      </c>
      <c r="D263" s="2" t="s">
        <v>387</v>
      </c>
      <c r="E263" s="2" t="s">
        <v>388</v>
      </c>
      <c r="F263" s="2" t="s">
        <v>400</v>
      </c>
      <c r="G263" s="2" t="s">
        <v>354</v>
      </c>
      <c r="H263" s="2" t="s">
        <v>390</v>
      </c>
      <c r="I263" s="2" t="s">
        <v>402</v>
      </c>
      <c r="J263" s="2" t="s">
        <v>392</v>
      </c>
      <c r="K263" s="1">
        <v>1</v>
      </c>
      <c r="L263" s="1">
        <v>588.39</v>
      </c>
    </row>
    <row r="264" spans="1:12" x14ac:dyDescent="0.15">
      <c r="A264" s="2" t="s">
        <v>275</v>
      </c>
      <c r="B264" s="2" t="s">
        <v>276</v>
      </c>
      <c r="C264" s="2" t="s">
        <v>500</v>
      </c>
      <c r="D264" s="2" t="s">
        <v>387</v>
      </c>
      <c r="E264" s="2" t="s">
        <v>388</v>
      </c>
      <c r="F264" s="2" t="s">
        <v>400</v>
      </c>
      <c r="G264" s="2" t="s">
        <v>354</v>
      </c>
      <c r="H264" s="2" t="s">
        <v>390</v>
      </c>
      <c r="I264" s="2" t="s">
        <v>414</v>
      </c>
      <c r="J264" s="2" t="s">
        <v>392</v>
      </c>
      <c r="K264" s="1">
        <v>1</v>
      </c>
      <c r="L264" s="1">
        <v>567.84</v>
      </c>
    </row>
    <row r="265" spans="1:12" x14ac:dyDescent="0.15">
      <c r="A265" s="2" t="s">
        <v>275</v>
      </c>
      <c r="B265" s="2" t="s">
        <v>276</v>
      </c>
      <c r="C265" s="2" t="s">
        <v>500</v>
      </c>
      <c r="D265" s="2" t="s">
        <v>387</v>
      </c>
      <c r="E265" s="2" t="s">
        <v>388</v>
      </c>
      <c r="F265" s="2" t="s">
        <v>400</v>
      </c>
      <c r="G265" s="2" t="s">
        <v>354</v>
      </c>
      <c r="H265" s="2" t="s">
        <v>390</v>
      </c>
      <c r="I265" s="2" t="s">
        <v>415</v>
      </c>
      <c r="J265" s="2" t="s">
        <v>392</v>
      </c>
      <c r="K265" s="1">
        <v>1</v>
      </c>
      <c r="L265" s="1">
        <v>611.99</v>
      </c>
    </row>
    <row r="266" spans="1:12" x14ac:dyDescent="0.15">
      <c r="A266" s="2" t="s">
        <v>275</v>
      </c>
      <c r="B266" s="2" t="s">
        <v>276</v>
      </c>
      <c r="C266" s="2" t="s">
        <v>500</v>
      </c>
      <c r="D266" s="2" t="s">
        <v>387</v>
      </c>
      <c r="E266" s="2" t="s">
        <v>388</v>
      </c>
      <c r="F266" s="2" t="s">
        <v>400</v>
      </c>
      <c r="G266" s="2" t="s">
        <v>354</v>
      </c>
      <c r="H266" s="2" t="s">
        <v>390</v>
      </c>
      <c r="I266" s="2" t="s">
        <v>431</v>
      </c>
      <c r="J266" s="2" t="s">
        <v>392</v>
      </c>
      <c r="K266" s="1">
        <v>1</v>
      </c>
      <c r="L266" s="1">
        <v>449.5</v>
      </c>
    </row>
    <row r="267" spans="1:12" x14ac:dyDescent="0.15">
      <c r="A267" s="2" t="s">
        <v>275</v>
      </c>
      <c r="B267" s="2" t="s">
        <v>276</v>
      </c>
      <c r="C267" s="2" t="s">
        <v>500</v>
      </c>
      <c r="D267" s="2" t="s">
        <v>387</v>
      </c>
      <c r="E267" s="2" t="s">
        <v>388</v>
      </c>
      <c r="F267" s="2" t="s">
        <v>400</v>
      </c>
      <c r="G267" s="2" t="s">
        <v>354</v>
      </c>
      <c r="H267" s="2" t="s">
        <v>390</v>
      </c>
      <c r="I267" s="2" t="s">
        <v>398</v>
      </c>
      <c r="J267" s="2" t="s">
        <v>392</v>
      </c>
      <c r="K267" s="1">
        <v>1</v>
      </c>
      <c r="L267" s="1">
        <v>449.5</v>
      </c>
    </row>
    <row r="268" spans="1:12" x14ac:dyDescent="0.15">
      <c r="A268" s="2" t="s">
        <v>275</v>
      </c>
      <c r="B268" s="2" t="s">
        <v>276</v>
      </c>
      <c r="C268" s="2" t="s">
        <v>500</v>
      </c>
      <c r="D268" s="2" t="s">
        <v>387</v>
      </c>
      <c r="E268" s="2" t="s">
        <v>388</v>
      </c>
      <c r="F268" s="2" t="s">
        <v>400</v>
      </c>
      <c r="G268" s="2" t="s">
        <v>354</v>
      </c>
      <c r="H268" s="2" t="s">
        <v>390</v>
      </c>
      <c r="I268" s="2" t="s">
        <v>420</v>
      </c>
      <c r="J268" s="2" t="s">
        <v>392</v>
      </c>
      <c r="K268" s="1">
        <v>1</v>
      </c>
      <c r="L268" s="1">
        <v>411.26</v>
      </c>
    </row>
    <row r="269" spans="1:12" x14ac:dyDescent="0.15">
      <c r="A269" s="2" t="s">
        <v>275</v>
      </c>
      <c r="B269" s="2" t="s">
        <v>276</v>
      </c>
      <c r="C269" s="2" t="s">
        <v>500</v>
      </c>
      <c r="D269" s="2" t="s">
        <v>387</v>
      </c>
      <c r="E269" s="2" t="s">
        <v>388</v>
      </c>
      <c r="F269" s="2" t="s">
        <v>400</v>
      </c>
      <c r="G269" s="2" t="s">
        <v>354</v>
      </c>
      <c r="H269" s="2" t="s">
        <v>390</v>
      </c>
      <c r="I269" s="2" t="s">
        <v>423</v>
      </c>
      <c r="J269" s="2" t="s">
        <v>392</v>
      </c>
      <c r="K269" s="1">
        <v>1</v>
      </c>
      <c r="L269" s="1">
        <v>449.5</v>
      </c>
    </row>
    <row r="270" spans="1:12" x14ac:dyDescent="0.15">
      <c r="A270" s="2" t="s">
        <v>275</v>
      </c>
      <c r="B270" s="2" t="s">
        <v>276</v>
      </c>
      <c r="C270" s="2" t="s">
        <v>500</v>
      </c>
      <c r="D270" s="2" t="s">
        <v>387</v>
      </c>
      <c r="E270" s="2" t="s">
        <v>388</v>
      </c>
      <c r="F270" s="2" t="s">
        <v>397</v>
      </c>
      <c r="G270" s="2" t="s">
        <v>355</v>
      </c>
      <c r="H270" s="2" t="s">
        <v>390</v>
      </c>
      <c r="I270" s="2" t="s">
        <v>455</v>
      </c>
      <c r="J270" s="2" t="s">
        <v>392</v>
      </c>
      <c r="K270" s="1">
        <v>1</v>
      </c>
      <c r="L270" s="1">
        <v>719.2</v>
      </c>
    </row>
    <row r="271" spans="1:12" x14ac:dyDescent="0.15">
      <c r="A271" s="2" t="s">
        <v>275</v>
      </c>
      <c r="B271" s="2" t="s">
        <v>276</v>
      </c>
      <c r="C271" s="2" t="s">
        <v>500</v>
      </c>
      <c r="D271" s="2" t="s">
        <v>387</v>
      </c>
      <c r="E271" s="2" t="s">
        <v>388</v>
      </c>
      <c r="F271" s="2" t="s">
        <v>397</v>
      </c>
      <c r="G271" s="2" t="s">
        <v>355</v>
      </c>
      <c r="H271" s="2" t="s">
        <v>390</v>
      </c>
      <c r="I271" s="2" t="s">
        <v>420</v>
      </c>
      <c r="J271" s="2" t="s">
        <v>392</v>
      </c>
      <c r="K271" s="1">
        <v>1</v>
      </c>
      <c r="L271" s="1">
        <v>449.5</v>
      </c>
    </row>
    <row r="272" spans="1:12" x14ac:dyDescent="0.15">
      <c r="A272" s="2" t="s">
        <v>275</v>
      </c>
      <c r="B272" s="2" t="s">
        <v>361</v>
      </c>
      <c r="C272" s="2" t="s">
        <v>501</v>
      </c>
      <c r="D272" s="2" t="s">
        <v>387</v>
      </c>
      <c r="E272" s="2" t="s">
        <v>388</v>
      </c>
      <c r="F272" s="2" t="s">
        <v>389</v>
      </c>
      <c r="G272" s="2" t="s">
        <v>353</v>
      </c>
      <c r="H272" s="2" t="s">
        <v>390</v>
      </c>
      <c r="I272" s="2" t="s">
        <v>401</v>
      </c>
      <c r="J272" s="2" t="s">
        <v>392</v>
      </c>
      <c r="K272" s="1">
        <v>1</v>
      </c>
      <c r="L272" s="1">
        <v>629.29999999999995</v>
      </c>
    </row>
    <row r="273" spans="1:12" x14ac:dyDescent="0.15">
      <c r="A273" s="2" t="s">
        <v>275</v>
      </c>
      <c r="B273" s="2" t="s">
        <v>363</v>
      </c>
      <c r="C273" s="2" t="s">
        <v>502</v>
      </c>
      <c r="D273" s="2" t="s">
        <v>387</v>
      </c>
      <c r="E273" s="2" t="s">
        <v>388</v>
      </c>
      <c r="F273" s="2" t="s">
        <v>399</v>
      </c>
      <c r="G273" s="2" t="s">
        <v>352</v>
      </c>
      <c r="H273" s="2" t="s">
        <v>390</v>
      </c>
      <c r="I273" s="2" t="s">
        <v>401</v>
      </c>
      <c r="J273" s="2" t="s">
        <v>392</v>
      </c>
      <c r="K273" s="1">
        <v>1</v>
      </c>
      <c r="L273" s="1">
        <v>629.29999999999995</v>
      </c>
    </row>
    <row r="274" spans="1:12" x14ac:dyDescent="0.15">
      <c r="A274" s="2" t="s">
        <v>275</v>
      </c>
      <c r="B274" s="2" t="s">
        <v>363</v>
      </c>
      <c r="C274" s="2" t="s">
        <v>502</v>
      </c>
      <c r="D274" s="2" t="s">
        <v>387</v>
      </c>
      <c r="E274" s="2" t="s">
        <v>388</v>
      </c>
      <c r="F274" s="2" t="s">
        <v>389</v>
      </c>
      <c r="G274" s="2" t="s">
        <v>353</v>
      </c>
      <c r="H274" s="2" t="s">
        <v>390</v>
      </c>
      <c r="I274" s="2" t="s">
        <v>402</v>
      </c>
      <c r="J274" s="2" t="s">
        <v>392</v>
      </c>
      <c r="K274" s="1">
        <v>1</v>
      </c>
      <c r="L274" s="1">
        <v>479.95</v>
      </c>
    </row>
    <row r="275" spans="1:12" x14ac:dyDescent="0.15">
      <c r="A275" s="2" t="s">
        <v>275</v>
      </c>
      <c r="B275" s="2" t="s">
        <v>339</v>
      </c>
      <c r="C275" s="2" t="s">
        <v>503</v>
      </c>
      <c r="D275" s="2" t="s">
        <v>387</v>
      </c>
      <c r="E275" s="2" t="s">
        <v>388</v>
      </c>
      <c r="F275" s="2" t="s">
        <v>389</v>
      </c>
      <c r="G275" s="2" t="s">
        <v>353</v>
      </c>
      <c r="H275" s="2" t="s">
        <v>390</v>
      </c>
      <c r="I275" s="2" t="s">
        <v>413</v>
      </c>
      <c r="J275" s="2" t="s">
        <v>392</v>
      </c>
      <c r="K275" s="1">
        <v>1</v>
      </c>
      <c r="L275" s="1">
        <v>579.29999999999995</v>
      </c>
    </row>
    <row r="276" spans="1:12" x14ac:dyDescent="0.15">
      <c r="A276" s="2" t="s">
        <v>275</v>
      </c>
      <c r="B276" s="2" t="s">
        <v>339</v>
      </c>
      <c r="C276" s="2" t="s">
        <v>503</v>
      </c>
      <c r="D276" s="2" t="s">
        <v>387</v>
      </c>
      <c r="E276" s="2" t="s">
        <v>388</v>
      </c>
      <c r="F276" s="2" t="s">
        <v>389</v>
      </c>
      <c r="G276" s="2" t="s">
        <v>353</v>
      </c>
      <c r="H276" s="2" t="s">
        <v>390</v>
      </c>
      <c r="I276" s="2" t="s">
        <v>406</v>
      </c>
      <c r="J276" s="2" t="s">
        <v>392</v>
      </c>
      <c r="K276" s="1">
        <v>1</v>
      </c>
      <c r="L276" s="1">
        <v>579.29999999999995</v>
      </c>
    </row>
    <row r="277" spans="1:12" x14ac:dyDescent="0.15">
      <c r="A277" s="2" t="s">
        <v>275</v>
      </c>
      <c r="B277" s="2" t="s">
        <v>339</v>
      </c>
      <c r="C277" s="2" t="s">
        <v>503</v>
      </c>
      <c r="D277" s="2" t="s">
        <v>387</v>
      </c>
      <c r="E277" s="2" t="s">
        <v>388</v>
      </c>
      <c r="F277" s="2" t="s">
        <v>389</v>
      </c>
      <c r="G277" s="2" t="s">
        <v>353</v>
      </c>
      <c r="H277" s="2" t="s">
        <v>390</v>
      </c>
      <c r="I277" s="2" t="s">
        <v>401</v>
      </c>
      <c r="J277" s="2" t="s">
        <v>392</v>
      </c>
      <c r="K277" s="1">
        <v>1</v>
      </c>
      <c r="L277" s="1">
        <v>579.29999999999995</v>
      </c>
    </row>
    <row r="278" spans="1:12" x14ac:dyDescent="0.15">
      <c r="A278" s="2" t="s">
        <v>275</v>
      </c>
      <c r="B278" s="2" t="s">
        <v>339</v>
      </c>
      <c r="C278" s="2" t="s">
        <v>503</v>
      </c>
      <c r="D278" s="2" t="s">
        <v>387</v>
      </c>
      <c r="E278" s="2" t="s">
        <v>388</v>
      </c>
      <c r="F278" s="2" t="s">
        <v>389</v>
      </c>
      <c r="G278" s="2" t="s">
        <v>353</v>
      </c>
      <c r="H278" s="2" t="s">
        <v>390</v>
      </c>
      <c r="I278" s="2" t="s">
        <v>394</v>
      </c>
      <c r="J278" s="2" t="s">
        <v>392</v>
      </c>
      <c r="K278" s="1">
        <v>1</v>
      </c>
      <c r="L278" s="1">
        <v>629.29999999999995</v>
      </c>
    </row>
    <row r="279" spans="1:12" x14ac:dyDescent="0.15">
      <c r="A279" s="2" t="s">
        <v>275</v>
      </c>
      <c r="B279" s="2" t="s">
        <v>339</v>
      </c>
      <c r="C279" s="2" t="s">
        <v>503</v>
      </c>
      <c r="D279" s="2" t="s">
        <v>387</v>
      </c>
      <c r="E279" s="2" t="s">
        <v>388</v>
      </c>
      <c r="F279" s="2" t="s">
        <v>400</v>
      </c>
      <c r="G279" s="2" t="s">
        <v>354</v>
      </c>
      <c r="H279" s="2" t="s">
        <v>390</v>
      </c>
      <c r="I279" s="2" t="s">
        <v>410</v>
      </c>
      <c r="J279" s="2" t="s">
        <v>392</v>
      </c>
      <c r="K279" s="1">
        <v>1</v>
      </c>
      <c r="L279" s="1">
        <v>579.29999999999995</v>
      </c>
    </row>
    <row r="280" spans="1:12" x14ac:dyDescent="0.15">
      <c r="A280" s="2" t="s">
        <v>275</v>
      </c>
      <c r="B280" s="2" t="s">
        <v>339</v>
      </c>
      <c r="C280" s="2" t="s">
        <v>503</v>
      </c>
      <c r="D280" s="2" t="s">
        <v>387</v>
      </c>
      <c r="E280" s="2" t="s">
        <v>388</v>
      </c>
      <c r="F280" s="2" t="s">
        <v>400</v>
      </c>
      <c r="G280" s="2" t="s">
        <v>354</v>
      </c>
      <c r="H280" s="2" t="s">
        <v>390</v>
      </c>
      <c r="I280" s="2" t="s">
        <v>431</v>
      </c>
      <c r="J280" s="2" t="s">
        <v>392</v>
      </c>
      <c r="K280" s="1">
        <v>1</v>
      </c>
      <c r="L280" s="1">
        <v>579.29999999999995</v>
      </c>
    </row>
    <row r="281" spans="1:12" x14ac:dyDescent="0.15">
      <c r="A281" s="2" t="s">
        <v>275</v>
      </c>
      <c r="B281" s="2" t="s">
        <v>292</v>
      </c>
      <c r="C281" s="2" t="s">
        <v>504</v>
      </c>
      <c r="D281" s="2" t="s">
        <v>387</v>
      </c>
      <c r="E281" s="2" t="s">
        <v>388</v>
      </c>
      <c r="F281" s="2" t="s">
        <v>400</v>
      </c>
      <c r="G281" s="2" t="s">
        <v>354</v>
      </c>
      <c r="H281" s="2" t="s">
        <v>390</v>
      </c>
      <c r="I281" s="2" t="s">
        <v>393</v>
      </c>
      <c r="J281" s="2" t="s">
        <v>392</v>
      </c>
      <c r="K281" s="1">
        <v>1</v>
      </c>
      <c r="L281" s="1">
        <v>488.82</v>
      </c>
    </row>
    <row r="282" spans="1:12" x14ac:dyDescent="0.15">
      <c r="A282" s="2" t="s">
        <v>275</v>
      </c>
      <c r="B282" s="2" t="s">
        <v>298</v>
      </c>
      <c r="C282" s="2" t="s">
        <v>505</v>
      </c>
      <c r="D282" s="2" t="s">
        <v>387</v>
      </c>
      <c r="E282" s="2" t="s">
        <v>388</v>
      </c>
      <c r="F282" s="2" t="s">
        <v>399</v>
      </c>
      <c r="G282" s="2" t="s">
        <v>352</v>
      </c>
      <c r="H282" s="2" t="s">
        <v>390</v>
      </c>
      <c r="I282" s="2" t="s">
        <v>410</v>
      </c>
      <c r="J282" s="2" t="s">
        <v>392</v>
      </c>
      <c r="K282" s="1">
        <v>1</v>
      </c>
      <c r="L282" s="1">
        <v>529.29999999999995</v>
      </c>
    </row>
    <row r="283" spans="1:12" x14ac:dyDescent="0.15">
      <c r="A283" s="2" t="s">
        <v>275</v>
      </c>
      <c r="B283" s="2" t="s">
        <v>298</v>
      </c>
      <c r="C283" s="2" t="s">
        <v>505</v>
      </c>
      <c r="D283" s="2" t="s">
        <v>387</v>
      </c>
      <c r="E283" s="2" t="s">
        <v>388</v>
      </c>
      <c r="F283" s="2" t="s">
        <v>399</v>
      </c>
      <c r="G283" s="2" t="s">
        <v>352</v>
      </c>
      <c r="H283" s="2" t="s">
        <v>390</v>
      </c>
      <c r="I283" s="2" t="s">
        <v>402</v>
      </c>
      <c r="J283" s="2" t="s">
        <v>392</v>
      </c>
      <c r="K283" s="1">
        <v>1</v>
      </c>
      <c r="L283" s="1">
        <v>899</v>
      </c>
    </row>
    <row r="284" spans="1:12" x14ac:dyDescent="0.15">
      <c r="A284" s="2" t="s">
        <v>275</v>
      </c>
      <c r="B284" s="2" t="s">
        <v>298</v>
      </c>
      <c r="C284" s="2" t="s">
        <v>505</v>
      </c>
      <c r="D284" s="2" t="s">
        <v>387</v>
      </c>
      <c r="E284" s="2" t="s">
        <v>388</v>
      </c>
      <c r="F284" s="2" t="s">
        <v>389</v>
      </c>
      <c r="G284" s="2" t="s">
        <v>353</v>
      </c>
      <c r="H284" s="2" t="s">
        <v>390</v>
      </c>
      <c r="I284" s="2" t="s">
        <v>402</v>
      </c>
      <c r="J284" s="2" t="s">
        <v>392</v>
      </c>
      <c r="K284" s="1">
        <v>1</v>
      </c>
      <c r="L284" s="1">
        <v>629.29999999999995</v>
      </c>
    </row>
    <row r="285" spans="1:12" x14ac:dyDescent="0.15">
      <c r="A285" s="2" t="s">
        <v>275</v>
      </c>
      <c r="B285" s="2" t="s">
        <v>298</v>
      </c>
      <c r="C285" s="2" t="s">
        <v>505</v>
      </c>
      <c r="D285" s="2" t="s">
        <v>387</v>
      </c>
      <c r="E285" s="2" t="s">
        <v>388</v>
      </c>
      <c r="F285" s="2" t="s">
        <v>389</v>
      </c>
      <c r="G285" s="2" t="s">
        <v>353</v>
      </c>
      <c r="H285" s="2" t="s">
        <v>390</v>
      </c>
      <c r="I285" s="2" t="s">
        <v>417</v>
      </c>
      <c r="J285" s="2" t="s">
        <v>392</v>
      </c>
      <c r="K285" s="1">
        <v>1</v>
      </c>
      <c r="L285" s="1">
        <v>669.2</v>
      </c>
    </row>
    <row r="286" spans="1:12" x14ac:dyDescent="0.15">
      <c r="A286" s="2" t="s">
        <v>275</v>
      </c>
      <c r="B286" s="2" t="s">
        <v>298</v>
      </c>
      <c r="C286" s="2" t="s">
        <v>505</v>
      </c>
      <c r="D286" s="2" t="s">
        <v>387</v>
      </c>
      <c r="E286" s="2" t="s">
        <v>388</v>
      </c>
      <c r="F286" s="2" t="s">
        <v>389</v>
      </c>
      <c r="G286" s="2" t="s">
        <v>353</v>
      </c>
      <c r="H286" s="2" t="s">
        <v>390</v>
      </c>
      <c r="I286" s="2" t="s">
        <v>414</v>
      </c>
      <c r="J286" s="2" t="s">
        <v>392</v>
      </c>
      <c r="K286" s="1">
        <v>1</v>
      </c>
      <c r="L286" s="1">
        <v>483.93</v>
      </c>
    </row>
    <row r="287" spans="1:12" x14ac:dyDescent="0.15">
      <c r="A287" s="2" t="s">
        <v>275</v>
      </c>
      <c r="B287" s="2" t="s">
        <v>298</v>
      </c>
      <c r="C287" s="2" t="s">
        <v>505</v>
      </c>
      <c r="D287" s="2" t="s">
        <v>387</v>
      </c>
      <c r="E287" s="2" t="s">
        <v>388</v>
      </c>
      <c r="F287" s="2" t="s">
        <v>389</v>
      </c>
      <c r="G287" s="2" t="s">
        <v>353</v>
      </c>
      <c r="H287" s="2" t="s">
        <v>390</v>
      </c>
      <c r="I287" s="2" t="s">
        <v>415</v>
      </c>
      <c r="J287" s="2" t="s">
        <v>392</v>
      </c>
      <c r="K287" s="1">
        <v>1</v>
      </c>
      <c r="L287" s="1">
        <v>509.3</v>
      </c>
    </row>
    <row r="288" spans="1:12" x14ac:dyDescent="0.15">
      <c r="A288" s="2" t="s">
        <v>275</v>
      </c>
      <c r="B288" s="2" t="s">
        <v>298</v>
      </c>
      <c r="C288" s="2" t="s">
        <v>505</v>
      </c>
      <c r="D288" s="2" t="s">
        <v>387</v>
      </c>
      <c r="E288" s="2" t="s">
        <v>388</v>
      </c>
      <c r="F288" s="2" t="s">
        <v>389</v>
      </c>
      <c r="G288" s="2" t="s">
        <v>353</v>
      </c>
      <c r="H288" s="2" t="s">
        <v>390</v>
      </c>
      <c r="I288" s="2" t="s">
        <v>423</v>
      </c>
      <c r="J288" s="2" t="s">
        <v>392</v>
      </c>
      <c r="K288" s="1">
        <v>1</v>
      </c>
      <c r="L288" s="1">
        <v>481.1</v>
      </c>
    </row>
    <row r="289" spans="1:12" x14ac:dyDescent="0.15">
      <c r="A289" s="2" t="s">
        <v>275</v>
      </c>
      <c r="B289" s="2" t="s">
        <v>298</v>
      </c>
      <c r="C289" s="2" t="s">
        <v>505</v>
      </c>
      <c r="D289" s="2" t="s">
        <v>387</v>
      </c>
      <c r="E289" s="2" t="s">
        <v>388</v>
      </c>
      <c r="F289" s="2" t="s">
        <v>400</v>
      </c>
      <c r="G289" s="2" t="s">
        <v>354</v>
      </c>
      <c r="H289" s="2" t="s">
        <v>390</v>
      </c>
      <c r="I289" s="2" t="s">
        <v>391</v>
      </c>
      <c r="J289" s="2" t="s">
        <v>392</v>
      </c>
      <c r="K289" s="1">
        <v>1</v>
      </c>
      <c r="L289" s="1">
        <v>629.29999999999995</v>
      </c>
    </row>
    <row r="290" spans="1:12" x14ac:dyDescent="0.15">
      <c r="A290" s="2" t="s">
        <v>275</v>
      </c>
      <c r="B290" s="2" t="s">
        <v>298</v>
      </c>
      <c r="C290" s="2" t="s">
        <v>505</v>
      </c>
      <c r="D290" s="2" t="s">
        <v>387</v>
      </c>
      <c r="E290" s="2" t="s">
        <v>388</v>
      </c>
      <c r="F290" s="2" t="s">
        <v>400</v>
      </c>
      <c r="G290" s="2" t="s">
        <v>354</v>
      </c>
      <c r="H290" s="2" t="s">
        <v>390</v>
      </c>
      <c r="I290" s="2" t="s">
        <v>406</v>
      </c>
      <c r="J290" s="2" t="s">
        <v>392</v>
      </c>
      <c r="K290" s="1">
        <v>-1</v>
      </c>
      <c r="L290" s="1">
        <v>-629.29999999999995</v>
      </c>
    </row>
    <row r="291" spans="1:12" x14ac:dyDescent="0.15">
      <c r="A291" s="2" t="s">
        <v>275</v>
      </c>
      <c r="B291" s="2" t="s">
        <v>298</v>
      </c>
      <c r="C291" s="2" t="s">
        <v>505</v>
      </c>
      <c r="D291" s="2" t="s">
        <v>387</v>
      </c>
      <c r="E291" s="2" t="s">
        <v>388</v>
      </c>
      <c r="F291" s="2" t="s">
        <v>400</v>
      </c>
      <c r="G291" s="2" t="s">
        <v>354</v>
      </c>
      <c r="H291" s="2" t="s">
        <v>390</v>
      </c>
      <c r="I291" s="2" t="s">
        <v>402</v>
      </c>
      <c r="J291" s="2" t="s">
        <v>392</v>
      </c>
      <c r="K291" s="1">
        <v>-1</v>
      </c>
      <c r="L291" s="1">
        <v>-899</v>
      </c>
    </row>
    <row r="292" spans="1:12" x14ac:dyDescent="0.15">
      <c r="A292" s="2" t="s">
        <v>275</v>
      </c>
      <c r="B292" s="2" t="s">
        <v>278</v>
      </c>
      <c r="C292" s="2" t="s">
        <v>506</v>
      </c>
      <c r="D292" s="2" t="s">
        <v>387</v>
      </c>
      <c r="E292" s="2" t="s">
        <v>388</v>
      </c>
      <c r="F292" s="2" t="s">
        <v>389</v>
      </c>
      <c r="G292" s="2" t="s">
        <v>353</v>
      </c>
      <c r="H292" s="2" t="s">
        <v>390</v>
      </c>
      <c r="I292" s="2" t="s">
        <v>428</v>
      </c>
      <c r="J292" s="2" t="s">
        <v>392</v>
      </c>
      <c r="K292" s="1">
        <v>1</v>
      </c>
      <c r="L292" s="1">
        <v>629.29999999999995</v>
      </c>
    </row>
    <row r="293" spans="1:12" x14ac:dyDescent="0.15">
      <c r="A293" s="2" t="s">
        <v>275</v>
      </c>
      <c r="B293" s="2" t="s">
        <v>278</v>
      </c>
      <c r="C293" s="2" t="s">
        <v>506</v>
      </c>
      <c r="D293" s="2" t="s">
        <v>387</v>
      </c>
      <c r="E293" s="2" t="s">
        <v>388</v>
      </c>
      <c r="F293" s="2" t="s">
        <v>400</v>
      </c>
      <c r="G293" s="2" t="s">
        <v>354</v>
      </c>
      <c r="H293" s="2" t="s">
        <v>390</v>
      </c>
      <c r="I293" s="2" t="s">
        <v>428</v>
      </c>
      <c r="J293" s="2" t="s">
        <v>392</v>
      </c>
      <c r="K293" s="1">
        <v>1</v>
      </c>
      <c r="L293" s="1">
        <v>629.29999999999995</v>
      </c>
    </row>
    <row r="294" spans="1:12" x14ac:dyDescent="0.15">
      <c r="A294" s="2" t="s">
        <v>275</v>
      </c>
      <c r="B294" s="2" t="s">
        <v>278</v>
      </c>
      <c r="C294" s="2" t="s">
        <v>506</v>
      </c>
      <c r="D294" s="2" t="s">
        <v>387</v>
      </c>
      <c r="E294" s="2" t="s">
        <v>388</v>
      </c>
      <c r="F294" s="2" t="s">
        <v>400</v>
      </c>
      <c r="G294" s="2" t="s">
        <v>354</v>
      </c>
      <c r="H294" s="2" t="s">
        <v>390</v>
      </c>
      <c r="I294" s="2" t="s">
        <v>398</v>
      </c>
      <c r="J294" s="2" t="s">
        <v>392</v>
      </c>
      <c r="K294" s="1">
        <v>1</v>
      </c>
      <c r="L294" s="1">
        <v>629.29999999999995</v>
      </c>
    </row>
    <row r="295" spans="1:12" x14ac:dyDescent="0.15">
      <c r="A295" s="2" t="s">
        <v>275</v>
      </c>
      <c r="B295" s="2" t="s">
        <v>290</v>
      </c>
      <c r="C295" s="2" t="s">
        <v>507</v>
      </c>
      <c r="D295" s="2" t="s">
        <v>387</v>
      </c>
      <c r="E295" s="2" t="s">
        <v>388</v>
      </c>
      <c r="F295" s="2" t="s">
        <v>389</v>
      </c>
      <c r="G295" s="2" t="s">
        <v>353</v>
      </c>
      <c r="H295" s="2" t="s">
        <v>390</v>
      </c>
      <c r="I295" s="2" t="s">
        <v>391</v>
      </c>
      <c r="J295" s="2" t="s">
        <v>392</v>
      </c>
      <c r="K295" s="1">
        <v>1</v>
      </c>
      <c r="L295" s="1">
        <v>611.61</v>
      </c>
    </row>
    <row r="296" spans="1:12" x14ac:dyDescent="0.15">
      <c r="A296" s="2" t="s">
        <v>275</v>
      </c>
      <c r="B296" s="2" t="s">
        <v>290</v>
      </c>
      <c r="C296" s="2" t="s">
        <v>507</v>
      </c>
      <c r="D296" s="2" t="s">
        <v>387</v>
      </c>
      <c r="E296" s="2" t="s">
        <v>388</v>
      </c>
      <c r="F296" s="2" t="s">
        <v>389</v>
      </c>
      <c r="G296" s="2" t="s">
        <v>353</v>
      </c>
      <c r="H296" s="2" t="s">
        <v>390</v>
      </c>
      <c r="I296" s="2" t="s">
        <v>401</v>
      </c>
      <c r="J296" s="2" t="s">
        <v>392</v>
      </c>
      <c r="K296" s="1">
        <v>1</v>
      </c>
      <c r="L296" s="1">
        <v>629.29999999999995</v>
      </c>
    </row>
    <row r="297" spans="1:12" x14ac:dyDescent="0.15">
      <c r="A297" s="2" t="s">
        <v>275</v>
      </c>
      <c r="B297" s="2" t="s">
        <v>290</v>
      </c>
      <c r="C297" s="2" t="s">
        <v>507</v>
      </c>
      <c r="D297" s="2" t="s">
        <v>387</v>
      </c>
      <c r="E297" s="2" t="s">
        <v>388</v>
      </c>
      <c r="F297" s="2" t="s">
        <v>389</v>
      </c>
      <c r="G297" s="2" t="s">
        <v>353</v>
      </c>
      <c r="H297" s="2" t="s">
        <v>390</v>
      </c>
      <c r="I297" s="2" t="s">
        <v>524</v>
      </c>
      <c r="J297" s="2" t="s">
        <v>392</v>
      </c>
      <c r="K297" s="1">
        <v>1</v>
      </c>
      <c r="L297" s="1">
        <v>595.52</v>
      </c>
    </row>
    <row r="298" spans="1:12" x14ac:dyDescent="0.15">
      <c r="A298" s="2" t="s">
        <v>275</v>
      </c>
      <c r="B298" s="2" t="s">
        <v>290</v>
      </c>
      <c r="C298" s="2" t="s">
        <v>507</v>
      </c>
      <c r="D298" s="2" t="s">
        <v>387</v>
      </c>
      <c r="E298" s="2" t="s">
        <v>388</v>
      </c>
      <c r="F298" s="2" t="s">
        <v>400</v>
      </c>
      <c r="G298" s="2" t="s">
        <v>354</v>
      </c>
      <c r="H298" s="2" t="s">
        <v>390</v>
      </c>
      <c r="I298" s="2" t="s">
        <v>410</v>
      </c>
      <c r="J298" s="2" t="s">
        <v>392</v>
      </c>
      <c r="K298" s="1">
        <v>1</v>
      </c>
      <c r="L298" s="1">
        <v>629.29999999999995</v>
      </c>
    </row>
    <row r="299" spans="1:12" x14ac:dyDescent="0.15">
      <c r="A299" s="2" t="s">
        <v>275</v>
      </c>
      <c r="B299" s="2" t="s">
        <v>290</v>
      </c>
      <c r="C299" s="2" t="s">
        <v>507</v>
      </c>
      <c r="D299" s="2" t="s">
        <v>387</v>
      </c>
      <c r="E299" s="2" t="s">
        <v>388</v>
      </c>
      <c r="F299" s="2" t="s">
        <v>400</v>
      </c>
      <c r="G299" s="2" t="s">
        <v>354</v>
      </c>
      <c r="H299" s="2" t="s">
        <v>390</v>
      </c>
      <c r="I299" s="2" t="s">
        <v>446</v>
      </c>
      <c r="J299" s="2" t="s">
        <v>392</v>
      </c>
      <c r="K299" s="1">
        <v>1</v>
      </c>
      <c r="L299" s="1">
        <v>629.29999999999995</v>
      </c>
    </row>
    <row r="300" spans="1:12" x14ac:dyDescent="0.15">
      <c r="A300" s="2" t="s">
        <v>275</v>
      </c>
      <c r="B300" s="2" t="s">
        <v>280</v>
      </c>
      <c r="C300" s="2" t="s">
        <v>508</v>
      </c>
      <c r="D300" s="2" t="s">
        <v>387</v>
      </c>
      <c r="E300" s="2" t="s">
        <v>388</v>
      </c>
      <c r="F300" s="2" t="s">
        <v>389</v>
      </c>
      <c r="G300" s="2" t="s">
        <v>353</v>
      </c>
      <c r="H300" s="2" t="s">
        <v>390</v>
      </c>
      <c r="I300" s="2" t="s">
        <v>409</v>
      </c>
      <c r="J300" s="2" t="s">
        <v>392</v>
      </c>
      <c r="K300" s="1">
        <v>-1</v>
      </c>
      <c r="L300" s="1">
        <v>-899</v>
      </c>
    </row>
    <row r="301" spans="1:12" x14ac:dyDescent="0.15">
      <c r="A301" s="2" t="s">
        <v>275</v>
      </c>
      <c r="B301" s="2" t="s">
        <v>280</v>
      </c>
      <c r="C301" s="2" t="s">
        <v>508</v>
      </c>
      <c r="D301" s="2" t="s">
        <v>387</v>
      </c>
      <c r="E301" s="2" t="s">
        <v>388</v>
      </c>
      <c r="F301" s="2" t="s">
        <v>389</v>
      </c>
      <c r="G301" s="2" t="s">
        <v>353</v>
      </c>
      <c r="H301" s="2" t="s">
        <v>390</v>
      </c>
      <c r="I301" s="2" t="s">
        <v>428</v>
      </c>
      <c r="J301" s="2" t="s">
        <v>392</v>
      </c>
      <c r="K301" s="1">
        <v>1</v>
      </c>
      <c r="L301" s="1">
        <v>899</v>
      </c>
    </row>
    <row r="302" spans="1:12" x14ac:dyDescent="0.15">
      <c r="A302" s="2" t="s">
        <v>275</v>
      </c>
      <c r="B302" s="2" t="s">
        <v>280</v>
      </c>
      <c r="C302" s="2" t="s">
        <v>508</v>
      </c>
      <c r="D302" s="2" t="s">
        <v>387</v>
      </c>
      <c r="E302" s="2" t="s">
        <v>388</v>
      </c>
      <c r="F302" s="2" t="s">
        <v>389</v>
      </c>
      <c r="G302" s="2" t="s">
        <v>353</v>
      </c>
      <c r="H302" s="2" t="s">
        <v>390</v>
      </c>
      <c r="I302" s="2" t="s">
        <v>403</v>
      </c>
      <c r="J302" s="2" t="s">
        <v>392</v>
      </c>
      <c r="K302" s="1">
        <v>1</v>
      </c>
      <c r="L302" s="1">
        <v>490.86</v>
      </c>
    </row>
    <row r="303" spans="1:12" x14ac:dyDescent="0.15">
      <c r="A303" s="2" t="s">
        <v>275</v>
      </c>
      <c r="B303" s="2" t="s">
        <v>280</v>
      </c>
      <c r="C303" s="2" t="s">
        <v>508</v>
      </c>
      <c r="D303" s="2" t="s">
        <v>387</v>
      </c>
      <c r="E303" s="2" t="s">
        <v>388</v>
      </c>
      <c r="F303" s="2" t="s">
        <v>400</v>
      </c>
      <c r="G303" s="2" t="s">
        <v>354</v>
      </c>
      <c r="H303" s="2" t="s">
        <v>390</v>
      </c>
      <c r="I303" s="2" t="s">
        <v>409</v>
      </c>
      <c r="J303" s="2" t="s">
        <v>392</v>
      </c>
      <c r="K303" s="1">
        <v>2</v>
      </c>
      <c r="L303" s="1">
        <v>1528.3</v>
      </c>
    </row>
    <row r="304" spans="1:12" x14ac:dyDescent="0.15">
      <c r="A304" s="2" t="s">
        <v>275</v>
      </c>
      <c r="B304" s="2" t="s">
        <v>280</v>
      </c>
      <c r="C304" s="2" t="s">
        <v>508</v>
      </c>
      <c r="D304" s="2" t="s">
        <v>387</v>
      </c>
      <c r="E304" s="2" t="s">
        <v>388</v>
      </c>
      <c r="F304" s="2" t="s">
        <v>400</v>
      </c>
      <c r="G304" s="2" t="s">
        <v>354</v>
      </c>
      <c r="H304" s="2" t="s">
        <v>390</v>
      </c>
      <c r="I304" s="2" t="s">
        <v>428</v>
      </c>
      <c r="J304" s="2" t="s">
        <v>392</v>
      </c>
      <c r="K304" s="1">
        <v>0</v>
      </c>
      <c r="L304" s="1">
        <v>-317.06</v>
      </c>
    </row>
    <row r="305" spans="1:12" x14ac:dyDescent="0.15">
      <c r="A305" s="2" t="s">
        <v>275</v>
      </c>
      <c r="B305" s="2" t="s">
        <v>280</v>
      </c>
      <c r="C305" s="2" t="s">
        <v>508</v>
      </c>
      <c r="D305" s="2" t="s">
        <v>387</v>
      </c>
      <c r="E305" s="2" t="s">
        <v>388</v>
      </c>
      <c r="F305" s="2" t="s">
        <v>397</v>
      </c>
      <c r="G305" s="2" t="s">
        <v>355</v>
      </c>
      <c r="H305" s="2" t="s">
        <v>390</v>
      </c>
      <c r="I305" s="2" t="s">
        <v>406</v>
      </c>
      <c r="J305" s="2" t="s">
        <v>392</v>
      </c>
      <c r="K305" s="1">
        <v>1</v>
      </c>
      <c r="L305" s="1">
        <v>529.29999999999995</v>
      </c>
    </row>
    <row r="306" spans="1:12" x14ac:dyDescent="0.15">
      <c r="A306" s="2" t="s">
        <v>275</v>
      </c>
      <c r="B306" s="2" t="s">
        <v>280</v>
      </c>
      <c r="C306" s="2" t="s">
        <v>508</v>
      </c>
      <c r="D306" s="2" t="s">
        <v>387</v>
      </c>
      <c r="E306" s="2" t="s">
        <v>388</v>
      </c>
      <c r="F306" s="2" t="s">
        <v>509</v>
      </c>
      <c r="G306" s="2" t="s">
        <v>510</v>
      </c>
      <c r="H306" s="2" t="s">
        <v>390</v>
      </c>
      <c r="I306" s="2" t="s">
        <v>406</v>
      </c>
      <c r="J306" s="2" t="s">
        <v>392</v>
      </c>
      <c r="K306" s="1">
        <v>0</v>
      </c>
      <c r="L306" s="1">
        <v>0</v>
      </c>
    </row>
    <row r="307" spans="1:12" x14ac:dyDescent="0.15">
      <c r="A307" s="2" t="s">
        <v>275</v>
      </c>
      <c r="B307" s="2" t="s">
        <v>367</v>
      </c>
      <c r="C307" s="2" t="s">
        <v>511</v>
      </c>
      <c r="D307" s="2" t="s">
        <v>387</v>
      </c>
      <c r="E307" s="2" t="s">
        <v>388</v>
      </c>
      <c r="F307" s="2" t="s">
        <v>389</v>
      </c>
      <c r="G307" s="2" t="s">
        <v>353</v>
      </c>
      <c r="H307" s="2" t="s">
        <v>390</v>
      </c>
      <c r="I307" s="2" t="s">
        <v>393</v>
      </c>
      <c r="J307" s="2" t="s">
        <v>392</v>
      </c>
      <c r="K307" s="1">
        <v>1</v>
      </c>
      <c r="L307" s="1">
        <v>899</v>
      </c>
    </row>
    <row r="308" spans="1:12" x14ac:dyDescent="0.15">
      <c r="A308" s="2" t="s">
        <v>275</v>
      </c>
      <c r="B308" s="2" t="s">
        <v>367</v>
      </c>
      <c r="C308" s="2" t="s">
        <v>511</v>
      </c>
      <c r="D308" s="2" t="s">
        <v>387</v>
      </c>
      <c r="E308" s="2" t="s">
        <v>388</v>
      </c>
      <c r="F308" s="2" t="s">
        <v>400</v>
      </c>
      <c r="G308" s="2" t="s">
        <v>354</v>
      </c>
      <c r="H308" s="2" t="s">
        <v>390</v>
      </c>
      <c r="I308" s="2" t="s">
        <v>406</v>
      </c>
      <c r="J308" s="2" t="s">
        <v>392</v>
      </c>
      <c r="K308" s="1">
        <v>1</v>
      </c>
      <c r="L308" s="1">
        <v>629.29999999999995</v>
      </c>
    </row>
    <row r="309" spans="1:12" x14ac:dyDescent="0.15">
      <c r="A309" s="2" t="s">
        <v>275</v>
      </c>
      <c r="B309" s="2" t="s">
        <v>367</v>
      </c>
      <c r="C309" s="2" t="s">
        <v>511</v>
      </c>
      <c r="D309" s="2" t="s">
        <v>387</v>
      </c>
      <c r="E309" s="2" t="s">
        <v>388</v>
      </c>
      <c r="F309" s="2" t="s">
        <v>400</v>
      </c>
      <c r="G309" s="2" t="s">
        <v>354</v>
      </c>
      <c r="H309" s="2" t="s">
        <v>390</v>
      </c>
      <c r="I309" s="2" t="s">
        <v>393</v>
      </c>
      <c r="J309" s="2" t="s">
        <v>392</v>
      </c>
      <c r="K309" s="1">
        <v>-1</v>
      </c>
      <c r="L309" s="1">
        <v>-899</v>
      </c>
    </row>
    <row r="310" spans="1:12" x14ac:dyDescent="0.15">
      <c r="A310" s="2" t="s">
        <v>275</v>
      </c>
      <c r="B310" s="2" t="s">
        <v>286</v>
      </c>
      <c r="C310" s="2" t="s">
        <v>512</v>
      </c>
      <c r="D310" s="2" t="s">
        <v>387</v>
      </c>
      <c r="E310" s="2" t="s">
        <v>388</v>
      </c>
      <c r="F310" s="2" t="s">
        <v>389</v>
      </c>
      <c r="G310" s="2" t="s">
        <v>353</v>
      </c>
      <c r="H310" s="2" t="s">
        <v>390</v>
      </c>
      <c r="I310" s="2" t="s">
        <v>393</v>
      </c>
      <c r="J310" s="2" t="s">
        <v>392</v>
      </c>
      <c r="K310" s="1">
        <v>1</v>
      </c>
      <c r="L310" s="1">
        <v>579.29999999999995</v>
      </c>
    </row>
    <row r="311" spans="1:12" x14ac:dyDescent="0.15">
      <c r="A311" s="2" t="s">
        <v>275</v>
      </c>
      <c r="B311" s="2" t="s">
        <v>286</v>
      </c>
      <c r="C311" s="2" t="s">
        <v>512</v>
      </c>
      <c r="D311" s="2" t="s">
        <v>387</v>
      </c>
      <c r="E311" s="2" t="s">
        <v>388</v>
      </c>
      <c r="F311" s="2" t="s">
        <v>389</v>
      </c>
      <c r="G311" s="2" t="s">
        <v>353</v>
      </c>
      <c r="H311" s="2" t="s">
        <v>390</v>
      </c>
      <c r="I311" s="2" t="s">
        <v>524</v>
      </c>
      <c r="J311" s="2" t="s">
        <v>392</v>
      </c>
      <c r="K311" s="1">
        <v>1</v>
      </c>
      <c r="L311" s="1">
        <v>531.14</v>
      </c>
    </row>
    <row r="312" spans="1:12" x14ac:dyDescent="0.15">
      <c r="A312" s="2" t="s">
        <v>275</v>
      </c>
      <c r="B312" s="2" t="s">
        <v>286</v>
      </c>
      <c r="C312" s="2" t="s">
        <v>512</v>
      </c>
      <c r="D312" s="2" t="s">
        <v>387</v>
      </c>
      <c r="E312" s="2" t="s">
        <v>388</v>
      </c>
      <c r="F312" s="2" t="s">
        <v>400</v>
      </c>
      <c r="G312" s="2" t="s">
        <v>354</v>
      </c>
      <c r="H312" s="2" t="s">
        <v>390</v>
      </c>
      <c r="I312" s="2" t="s">
        <v>401</v>
      </c>
      <c r="J312" s="2" t="s">
        <v>392</v>
      </c>
      <c r="K312" s="1">
        <v>1</v>
      </c>
      <c r="L312" s="1">
        <v>629.29999999999995</v>
      </c>
    </row>
    <row r="313" spans="1:12" x14ac:dyDescent="0.15">
      <c r="A313" s="2" t="s">
        <v>275</v>
      </c>
      <c r="B313" s="2" t="s">
        <v>370</v>
      </c>
      <c r="C313" s="2" t="s">
        <v>513</v>
      </c>
      <c r="D313" s="2" t="s">
        <v>387</v>
      </c>
      <c r="E313" s="2" t="s">
        <v>388</v>
      </c>
      <c r="F313" s="2" t="s">
        <v>389</v>
      </c>
      <c r="G313" s="2" t="s">
        <v>353</v>
      </c>
      <c r="H313" s="2" t="s">
        <v>390</v>
      </c>
      <c r="I313" s="2" t="s">
        <v>414</v>
      </c>
      <c r="J313" s="2" t="s">
        <v>392</v>
      </c>
      <c r="K313" s="1">
        <v>1</v>
      </c>
      <c r="L313" s="1">
        <v>629.29999999999995</v>
      </c>
    </row>
    <row r="314" spans="1:12" x14ac:dyDescent="0.15">
      <c r="A314" s="2" t="s">
        <v>275</v>
      </c>
      <c r="B314" s="2" t="s">
        <v>288</v>
      </c>
      <c r="C314" s="2" t="s">
        <v>514</v>
      </c>
      <c r="D314" s="2" t="s">
        <v>387</v>
      </c>
      <c r="E314" s="2" t="s">
        <v>388</v>
      </c>
      <c r="F314" s="2" t="s">
        <v>389</v>
      </c>
      <c r="G314" s="2" t="s">
        <v>353</v>
      </c>
      <c r="H314" s="2" t="s">
        <v>390</v>
      </c>
      <c r="I314" s="2" t="s">
        <v>394</v>
      </c>
      <c r="J314" s="2" t="s">
        <v>392</v>
      </c>
      <c r="K314" s="1">
        <v>-1</v>
      </c>
      <c r="L314" s="1">
        <v>-899</v>
      </c>
    </row>
    <row r="315" spans="1:12" x14ac:dyDescent="0.15">
      <c r="A315" s="2" t="s">
        <v>275</v>
      </c>
      <c r="B315" s="2" t="s">
        <v>288</v>
      </c>
      <c r="C315" s="2" t="s">
        <v>514</v>
      </c>
      <c r="D315" s="2" t="s">
        <v>387</v>
      </c>
      <c r="E315" s="2" t="s">
        <v>388</v>
      </c>
      <c r="F315" s="2" t="s">
        <v>397</v>
      </c>
      <c r="G315" s="2" t="s">
        <v>355</v>
      </c>
      <c r="H315" s="2" t="s">
        <v>390</v>
      </c>
      <c r="I315" s="2" t="s">
        <v>394</v>
      </c>
      <c r="J315" s="2" t="s">
        <v>392</v>
      </c>
      <c r="K315" s="1">
        <v>1</v>
      </c>
      <c r="L315" s="1">
        <v>899</v>
      </c>
    </row>
    <row r="316" spans="1:12" x14ac:dyDescent="0.15">
      <c r="A316" s="2" t="s">
        <v>317</v>
      </c>
      <c r="B316" s="2" t="s">
        <v>322</v>
      </c>
      <c r="C316" s="2" t="s">
        <v>515</v>
      </c>
      <c r="D316" s="2" t="s">
        <v>387</v>
      </c>
      <c r="E316" s="2" t="s">
        <v>388</v>
      </c>
      <c r="F316" s="2" t="s">
        <v>389</v>
      </c>
      <c r="G316" s="2" t="s">
        <v>353</v>
      </c>
      <c r="H316" s="2" t="s">
        <v>390</v>
      </c>
      <c r="I316" s="2" t="s">
        <v>401</v>
      </c>
      <c r="J316" s="2" t="s">
        <v>392</v>
      </c>
      <c r="K316" s="1">
        <v>0</v>
      </c>
      <c r="L316" s="1">
        <v>-57.79</v>
      </c>
    </row>
    <row r="317" spans="1:12" x14ac:dyDescent="0.15">
      <c r="A317" s="2" t="s">
        <v>317</v>
      </c>
      <c r="B317" s="2" t="s">
        <v>322</v>
      </c>
      <c r="C317" s="2" t="s">
        <v>515</v>
      </c>
      <c r="D317" s="2" t="s">
        <v>387</v>
      </c>
      <c r="E317" s="2" t="s">
        <v>388</v>
      </c>
      <c r="F317" s="2" t="s">
        <v>389</v>
      </c>
      <c r="G317" s="2" t="s">
        <v>353</v>
      </c>
      <c r="H317" s="2" t="s">
        <v>390</v>
      </c>
      <c r="I317" s="2" t="s">
        <v>415</v>
      </c>
      <c r="J317" s="2" t="s">
        <v>392</v>
      </c>
      <c r="K317" s="1">
        <v>1</v>
      </c>
      <c r="L317" s="1">
        <v>629.29999999999995</v>
      </c>
    </row>
    <row r="318" spans="1:12" x14ac:dyDescent="0.15">
      <c r="A318" s="2" t="s">
        <v>317</v>
      </c>
      <c r="B318" s="2" t="s">
        <v>326</v>
      </c>
      <c r="C318" s="2" t="s">
        <v>516</v>
      </c>
      <c r="D318" s="2" t="s">
        <v>387</v>
      </c>
      <c r="E318" s="2" t="s">
        <v>388</v>
      </c>
      <c r="F318" s="2" t="s">
        <v>400</v>
      </c>
      <c r="G318" s="2" t="s">
        <v>354</v>
      </c>
      <c r="H318" s="2" t="s">
        <v>390</v>
      </c>
      <c r="I318" s="2" t="s">
        <v>524</v>
      </c>
      <c r="J318" s="2" t="s">
        <v>392</v>
      </c>
      <c r="K318" s="1">
        <v>1</v>
      </c>
      <c r="L318" s="1">
        <v>629.29999999999995</v>
      </c>
    </row>
    <row r="319" spans="1:12" x14ac:dyDescent="0.15">
      <c r="A319" s="2" t="s">
        <v>317</v>
      </c>
      <c r="B319" s="2" t="s">
        <v>358</v>
      </c>
      <c r="C319" s="2" t="s">
        <v>517</v>
      </c>
      <c r="D319" s="2" t="s">
        <v>387</v>
      </c>
      <c r="E319" s="2" t="s">
        <v>388</v>
      </c>
      <c r="F319" s="2" t="s">
        <v>389</v>
      </c>
      <c r="G319" s="2" t="s">
        <v>353</v>
      </c>
      <c r="H319" s="2" t="s">
        <v>390</v>
      </c>
      <c r="I319" s="2" t="s">
        <v>391</v>
      </c>
      <c r="J319" s="2" t="s">
        <v>392</v>
      </c>
      <c r="K319" s="1">
        <v>1</v>
      </c>
      <c r="L319" s="1">
        <v>629.29999999999995</v>
      </c>
    </row>
    <row r="320" spans="1:12" x14ac:dyDescent="0.15">
      <c r="A320" s="2" t="s">
        <v>317</v>
      </c>
      <c r="B320" s="2" t="s">
        <v>358</v>
      </c>
      <c r="C320" s="2" t="s">
        <v>517</v>
      </c>
      <c r="D320" s="2" t="s">
        <v>387</v>
      </c>
      <c r="E320" s="2" t="s">
        <v>388</v>
      </c>
      <c r="F320" s="2" t="s">
        <v>389</v>
      </c>
      <c r="G320" s="2" t="s">
        <v>353</v>
      </c>
      <c r="H320" s="2" t="s">
        <v>390</v>
      </c>
      <c r="I320" s="2" t="s">
        <v>409</v>
      </c>
      <c r="J320" s="2" t="s">
        <v>392</v>
      </c>
      <c r="K320" s="1">
        <v>1</v>
      </c>
      <c r="L320" s="1">
        <v>629.29999999999995</v>
      </c>
    </row>
    <row r="321" spans="1:12" x14ac:dyDescent="0.15">
      <c r="A321" s="2" t="s">
        <v>317</v>
      </c>
      <c r="B321" s="2" t="s">
        <v>358</v>
      </c>
      <c r="C321" s="2" t="s">
        <v>517</v>
      </c>
      <c r="D321" s="2" t="s">
        <v>387</v>
      </c>
      <c r="E321" s="2" t="s">
        <v>388</v>
      </c>
      <c r="F321" s="2" t="s">
        <v>389</v>
      </c>
      <c r="G321" s="2" t="s">
        <v>353</v>
      </c>
      <c r="H321" s="2" t="s">
        <v>390</v>
      </c>
      <c r="I321" s="2" t="s">
        <v>406</v>
      </c>
      <c r="J321" s="2" t="s">
        <v>392</v>
      </c>
      <c r="K321" s="1">
        <v>1</v>
      </c>
      <c r="L321" s="1">
        <v>579.29999999999995</v>
      </c>
    </row>
    <row r="322" spans="1:12" x14ac:dyDescent="0.15">
      <c r="A322" s="2" t="s">
        <v>317</v>
      </c>
      <c r="B322" s="2" t="s">
        <v>358</v>
      </c>
      <c r="C322" s="2" t="s">
        <v>517</v>
      </c>
      <c r="D322" s="2" t="s">
        <v>387</v>
      </c>
      <c r="E322" s="2" t="s">
        <v>388</v>
      </c>
      <c r="F322" s="2" t="s">
        <v>389</v>
      </c>
      <c r="G322" s="2" t="s">
        <v>353</v>
      </c>
      <c r="H322" s="2" t="s">
        <v>390</v>
      </c>
      <c r="I322" s="2" t="s">
        <v>402</v>
      </c>
      <c r="J322" s="2" t="s">
        <v>392</v>
      </c>
      <c r="K322" s="1">
        <v>1</v>
      </c>
      <c r="L322" s="1">
        <v>579.29999999999995</v>
      </c>
    </row>
    <row r="323" spans="1:12" x14ac:dyDescent="0.15">
      <c r="A323" s="2" t="s">
        <v>317</v>
      </c>
      <c r="B323" s="2" t="s">
        <v>358</v>
      </c>
      <c r="C323" s="2" t="s">
        <v>517</v>
      </c>
      <c r="D323" s="2" t="s">
        <v>387</v>
      </c>
      <c r="E323" s="2" t="s">
        <v>388</v>
      </c>
      <c r="F323" s="2" t="s">
        <v>400</v>
      </c>
      <c r="G323" s="2" t="s">
        <v>354</v>
      </c>
      <c r="H323" s="2" t="s">
        <v>390</v>
      </c>
      <c r="I323" s="2" t="s">
        <v>413</v>
      </c>
      <c r="J323" s="2" t="s">
        <v>392</v>
      </c>
      <c r="K323" s="1">
        <v>2</v>
      </c>
      <c r="L323" s="1">
        <v>579.29999999999995</v>
      </c>
    </row>
    <row r="324" spans="1:12" x14ac:dyDescent="0.15">
      <c r="A324" s="2" t="s">
        <v>317</v>
      </c>
      <c r="B324" s="2" t="s">
        <v>328</v>
      </c>
      <c r="C324" s="2" t="s">
        <v>518</v>
      </c>
      <c r="D324" s="2" t="s">
        <v>387</v>
      </c>
      <c r="E324" s="2" t="s">
        <v>388</v>
      </c>
      <c r="F324" s="2" t="s">
        <v>389</v>
      </c>
      <c r="G324" s="2" t="s">
        <v>353</v>
      </c>
      <c r="H324" s="2" t="s">
        <v>390</v>
      </c>
      <c r="I324" s="2" t="s">
        <v>409</v>
      </c>
      <c r="J324" s="2" t="s">
        <v>392</v>
      </c>
      <c r="K324" s="1">
        <v>1</v>
      </c>
      <c r="L324" s="1">
        <v>579.29999999999995</v>
      </c>
    </row>
    <row r="325" spans="1:12" x14ac:dyDescent="0.15">
      <c r="A325" s="2" t="s">
        <v>317</v>
      </c>
      <c r="B325" s="2" t="s">
        <v>328</v>
      </c>
      <c r="C325" s="2" t="s">
        <v>518</v>
      </c>
      <c r="D325" s="2" t="s">
        <v>387</v>
      </c>
      <c r="E325" s="2" t="s">
        <v>388</v>
      </c>
      <c r="F325" s="2" t="s">
        <v>389</v>
      </c>
      <c r="G325" s="2" t="s">
        <v>353</v>
      </c>
      <c r="H325" s="2" t="s">
        <v>390</v>
      </c>
      <c r="I325" s="2" t="s">
        <v>413</v>
      </c>
      <c r="J325" s="2" t="s">
        <v>392</v>
      </c>
      <c r="K325" s="1">
        <v>-1</v>
      </c>
      <c r="L325" s="1">
        <v>-579.29999999999995</v>
      </c>
    </row>
    <row r="326" spans="1:12" x14ac:dyDescent="0.15">
      <c r="A326" s="2" t="s">
        <v>317</v>
      </c>
      <c r="B326" s="2" t="s">
        <v>320</v>
      </c>
      <c r="C326" s="2" t="s">
        <v>519</v>
      </c>
      <c r="D326" s="2" t="s">
        <v>387</v>
      </c>
      <c r="E326" s="2" t="s">
        <v>388</v>
      </c>
      <c r="F326" s="2" t="s">
        <v>389</v>
      </c>
      <c r="G326" s="2" t="s">
        <v>353</v>
      </c>
      <c r="H326" s="2" t="s">
        <v>390</v>
      </c>
      <c r="I326" s="2" t="s">
        <v>393</v>
      </c>
      <c r="J326" s="2" t="s">
        <v>392</v>
      </c>
      <c r="K326" s="1">
        <v>1</v>
      </c>
      <c r="L326" s="1">
        <v>488.25</v>
      </c>
    </row>
    <row r="327" spans="1:12" x14ac:dyDescent="0.15">
      <c r="A327" s="2" t="s">
        <v>317</v>
      </c>
      <c r="B327" s="2" t="s">
        <v>334</v>
      </c>
      <c r="C327" s="2" t="s">
        <v>520</v>
      </c>
      <c r="D327" s="2" t="s">
        <v>387</v>
      </c>
      <c r="E327" s="2" t="s">
        <v>388</v>
      </c>
      <c r="F327" s="2" t="s">
        <v>389</v>
      </c>
      <c r="G327" s="2" t="s">
        <v>353</v>
      </c>
      <c r="H327" s="2" t="s">
        <v>390</v>
      </c>
      <c r="I327" s="2" t="s">
        <v>417</v>
      </c>
      <c r="J327" s="2" t="s">
        <v>392</v>
      </c>
      <c r="K327" s="1">
        <v>1</v>
      </c>
      <c r="L327" s="1">
        <v>719.2</v>
      </c>
    </row>
    <row r="328" spans="1:12" x14ac:dyDescent="0.15">
      <c r="A328" s="2" t="s">
        <v>317</v>
      </c>
      <c r="B328" s="2" t="s">
        <v>334</v>
      </c>
      <c r="C328" s="2" t="s">
        <v>520</v>
      </c>
      <c r="D328" s="2" t="s">
        <v>387</v>
      </c>
      <c r="E328" s="2" t="s">
        <v>388</v>
      </c>
      <c r="F328" s="2" t="s">
        <v>397</v>
      </c>
      <c r="G328" s="2" t="s">
        <v>355</v>
      </c>
      <c r="H328" s="2" t="s">
        <v>390</v>
      </c>
      <c r="I328" s="2" t="s">
        <v>414</v>
      </c>
      <c r="J328" s="2" t="s">
        <v>392</v>
      </c>
      <c r="K328" s="1">
        <v>1</v>
      </c>
      <c r="L328" s="1">
        <v>629.29999999999995</v>
      </c>
    </row>
    <row r="329" spans="1:12" x14ac:dyDescent="0.15">
      <c r="A329" s="2" t="s">
        <v>317</v>
      </c>
      <c r="B329" s="2" t="s">
        <v>330</v>
      </c>
      <c r="C329" s="2" t="s">
        <v>521</v>
      </c>
      <c r="D329" s="2" t="s">
        <v>387</v>
      </c>
      <c r="E329" s="2" t="s">
        <v>388</v>
      </c>
      <c r="F329" s="2" t="s">
        <v>389</v>
      </c>
      <c r="G329" s="2" t="s">
        <v>353</v>
      </c>
      <c r="H329" s="2" t="s">
        <v>390</v>
      </c>
      <c r="I329" s="2" t="s">
        <v>391</v>
      </c>
      <c r="J329" s="2" t="s">
        <v>392</v>
      </c>
      <c r="K329" s="1">
        <v>1</v>
      </c>
      <c r="L329" s="1">
        <v>579.29999999999995</v>
      </c>
    </row>
    <row r="330" spans="1:12" x14ac:dyDescent="0.15">
      <c r="A330" s="2" t="s">
        <v>317</v>
      </c>
      <c r="B330" s="2" t="s">
        <v>330</v>
      </c>
      <c r="C330" s="2" t="s">
        <v>521</v>
      </c>
      <c r="D330" s="2" t="s">
        <v>387</v>
      </c>
      <c r="E330" s="2" t="s">
        <v>388</v>
      </c>
      <c r="F330" s="2" t="s">
        <v>389</v>
      </c>
      <c r="G330" s="2" t="s">
        <v>353</v>
      </c>
      <c r="H330" s="2" t="s">
        <v>390</v>
      </c>
      <c r="I330" s="2" t="s">
        <v>437</v>
      </c>
      <c r="J330" s="2" t="s">
        <v>392</v>
      </c>
      <c r="K330" s="1">
        <v>1</v>
      </c>
      <c r="L330" s="1">
        <v>269.7</v>
      </c>
    </row>
    <row r="331" spans="1:12" x14ac:dyDescent="0.15">
      <c r="A331" s="2" t="s">
        <v>317</v>
      </c>
      <c r="B331" s="2" t="s">
        <v>330</v>
      </c>
      <c r="C331" s="2" t="s">
        <v>521</v>
      </c>
      <c r="D331" s="2" t="s">
        <v>387</v>
      </c>
      <c r="E331" s="2" t="s">
        <v>388</v>
      </c>
      <c r="F331" s="2" t="s">
        <v>389</v>
      </c>
      <c r="G331" s="2" t="s">
        <v>353</v>
      </c>
      <c r="H331" s="2" t="s">
        <v>390</v>
      </c>
      <c r="I331" s="2" t="s">
        <v>420</v>
      </c>
      <c r="J331" s="2" t="s">
        <v>392</v>
      </c>
      <c r="K331" s="1">
        <v>1</v>
      </c>
      <c r="L331" s="1">
        <v>629.29999999999995</v>
      </c>
    </row>
    <row r="332" spans="1:12" x14ac:dyDescent="0.15">
      <c r="A332" s="2" t="s">
        <v>317</v>
      </c>
      <c r="B332" s="2" t="s">
        <v>330</v>
      </c>
      <c r="C332" s="2" t="s">
        <v>521</v>
      </c>
      <c r="D332" s="2" t="s">
        <v>387</v>
      </c>
      <c r="E332" s="2" t="s">
        <v>388</v>
      </c>
      <c r="F332" s="2" t="s">
        <v>400</v>
      </c>
      <c r="G332" s="2" t="s">
        <v>354</v>
      </c>
      <c r="H332" s="2" t="s">
        <v>390</v>
      </c>
      <c r="I332" s="2" t="s">
        <v>524</v>
      </c>
      <c r="J332" s="2" t="s">
        <v>392</v>
      </c>
      <c r="K332" s="1">
        <v>1</v>
      </c>
      <c r="L332" s="1">
        <v>269.7</v>
      </c>
    </row>
    <row r="333" spans="1:12" x14ac:dyDescent="0.15">
      <c r="A333" s="2" t="s">
        <v>317</v>
      </c>
      <c r="B333" s="2" t="s">
        <v>336</v>
      </c>
      <c r="C333" s="2" t="s">
        <v>522</v>
      </c>
      <c r="D333" s="2" t="s">
        <v>387</v>
      </c>
      <c r="E333" s="2" t="s">
        <v>388</v>
      </c>
      <c r="F333" s="2" t="s">
        <v>400</v>
      </c>
      <c r="G333" s="2" t="s">
        <v>354</v>
      </c>
      <c r="H333" s="2" t="s">
        <v>390</v>
      </c>
      <c r="I333" s="2" t="s">
        <v>406</v>
      </c>
      <c r="J333" s="2" t="s">
        <v>392</v>
      </c>
      <c r="K333" s="1">
        <v>1</v>
      </c>
      <c r="L333" s="1">
        <v>579.29999999999995</v>
      </c>
    </row>
    <row r="334" spans="1:12" x14ac:dyDescent="0.15">
      <c r="A334" s="2"/>
      <c r="B334" s="2"/>
      <c r="C334" s="2"/>
      <c r="D334" s="2"/>
      <c r="E334" s="2"/>
      <c r="F334" s="2"/>
      <c r="G334" s="2"/>
      <c r="H334" s="2"/>
      <c r="I334" s="2"/>
      <c r="J334" s="2"/>
    </row>
    <row r="335" spans="1:12" x14ac:dyDescent="0.15">
      <c r="A335" s="2"/>
      <c r="B335" s="2"/>
      <c r="C335" s="2"/>
      <c r="D335" s="2"/>
      <c r="E335" s="2"/>
      <c r="F335" s="2"/>
      <c r="G335" s="2"/>
      <c r="H335" s="2"/>
      <c r="I335" s="2"/>
      <c r="J335" s="2"/>
    </row>
    <row r="336" spans="1:12" x14ac:dyDescent="0.15">
      <c r="A336" s="2"/>
      <c r="B336" s="2"/>
      <c r="C336" s="2"/>
      <c r="D336" s="2"/>
      <c r="E336" s="2"/>
      <c r="F336" s="2"/>
      <c r="G336" s="2"/>
      <c r="H336" s="2"/>
      <c r="I336" s="2"/>
      <c r="J336" s="2"/>
    </row>
    <row r="337" spans="1:10" x14ac:dyDescent="0.15">
      <c r="A337" s="2"/>
      <c r="B337" s="2"/>
      <c r="C337" s="2"/>
      <c r="D337" s="2"/>
      <c r="E337" s="2"/>
      <c r="F337" s="2"/>
      <c r="G337" s="2"/>
      <c r="H337" s="2"/>
      <c r="I337" s="2"/>
      <c r="J337" s="2"/>
    </row>
    <row r="338" spans="1:10" x14ac:dyDescent="0.15">
      <c r="A338" s="2"/>
      <c r="B338" s="2"/>
      <c r="C338" s="2"/>
      <c r="D338" s="2"/>
      <c r="E338" s="2"/>
      <c r="F338" s="2"/>
      <c r="G338" s="2"/>
      <c r="H338" s="2"/>
      <c r="I338" s="2"/>
      <c r="J338" s="2"/>
    </row>
    <row r="339" spans="1:10" x14ac:dyDescent="0.15">
      <c r="A339" s="2"/>
      <c r="B339" s="2"/>
      <c r="C339" s="2"/>
      <c r="D339" s="2"/>
      <c r="E339" s="2"/>
      <c r="F339" s="2"/>
      <c r="G339" s="2"/>
      <c r="H339" s="2"/>
      <c r="I339" s="2"/>
      <c r="J339" s="2"/>
    </row>
    <row r="340" spans="1:10" x14ac:dyDescent="0.15">
      <c r="A340" s="2"/>
      <c r="B340" s="2"/>
      <c r="C340" s="2"/>
      <c r="D340" s="2"/>
      <c r="E340" s="2"/>
      <c r="F340" s="2"/>
      <c r="G340" s="2"/>
      <c r="H340" s="2"/>
      <c r="I340" s="2"/>
      <c r="J340" s="2"/>
    </row>
    <row r="341" spans="1:10" x14ac:dyDescent="0.15">
      <c r="A341" s="2"/>
      <c r="B341" s="2"/>
      <c r="C341" s="2"/>
      <c r="D341" s="2"/>
      <c r="E341" s="2"/>
      <c r="F341" s="2"/>
      <c r="G341" s="2"/>
      <c r="H341" s="2"/>
      <c r="I341" s="2"/>
      <c r="J341" s="2"/>
    </row>
    <row r="342" spans="1:10" x14ac:dyDescent="0.15">
      <c r="A342" s="2"/>
      <c r="B342" s="2"/>
      <c r="C342" s="2"/>
      <c r="D342" s="2"/>
      <c r="E342" s="2"/>
      <c r="F342" s="2"/>
      <c r="G342" s="2"/>
      <c r="H342" s="2"/>
      <c r="I342" s="2"/>
      <c r="J342" s="2"/>
    </row>
    <row r="343" spans="1:10" x14ac:dyDescent="0.15">
      <c r="A343" s="2"/>
      <c r="B343" s="2"/>
      <c r="C343" s="2"/>
      <c r="D343" s="2"/>
      <c r="E343" s="2"/>
      <c r="F343" s="2"/>
      <c r="G343" s="2"/>
      <c r="H343" s="2"/>
      <c r="I343" s="2"/>
      <c r="J343" s="2"/>
    </row>
    <row r="344" spans="1:10" x14ac:dyDescent="0.15">
      <c r="A344" s="2"/>
      <c r="B344" s="2"/>
      <c r="C344" s="2"/>
      <c r="D344" s="2"/>
      <c r="E344" s="2"/>
      <c r="F344" s="2"/>
      <c r="G344" s="2"/>
      <c r="H344" s="2"/>
      <c r="I344" s="2"/>
      <c r="J344" s="2"/>
    </row>
    <row r="345" spans="1:10" x14ac:dyDescent="0.15">
      <c r="A345" s="2"/>
      <c r="B345" s="2"/>
      <c r="C345" s="2"/>
      <c r="D345" s="2"/>
      <c r="E345" s="2"/>
      <c r="F345" s="2"/>
      <c r="G345" s="2"/>
      <c r="H345" s="2"/>
      <c r="I345" s="2"/>
      <c r="J345" s="2"/>
    </row>
    <row r="346" spans="1:10" x14ac:dyDescent="0.15">
      <c r="A346" s="2"/>
      <c r="B346" s="2"/>
      <c r="C346" s="2"/>
      <c r="D346" s="2"/>
      <c r="E346" s="2"/>
      <c r="F346" s="2"/>
      <c r="G346" s="2"/>
      <c r="H346" s="2"/>
      <c r="I346" s="2"/>
      <c r="J346" s="2"/>
    </row>
    <row r="347" spans="1:10" x14ac:dyDescent="0.15">
      <c r="A347" s="2"/>
      <c r="B347" s="2"/>
      <c r="C347" s="2"/>
      <c r="D347" s="2"/>
      <c r="E347" s="2"/>
      <c r="F347" s="2"/>
      <c r="G347" s="2"/>
      <c r="H347" s="2"/>
      <c r="I347" s="2"/>
      <c r="J347" s="2"/>
    </row>
    <row r="348" spans="1:10" x14ac:dyDescent="0.15">
      <c r="A348" s="2"/>
      <c r="B348" s="2"/>
      <c r="C348" s="2"/>
      <c r="D348" s="2"/>
      <c r="E348" s="2"/>
      <c r="F348" s="2"/>
      <c r="G348" s="2"/>
      <c r="H348" s="2"/>
      <c r="I348" s="2"/>
      <c r="J348" s="2"/>
    </row>
    <row r="349" spans="1:10" x14ac:dyDescent="0.15">
      <c r="A349" s="2"/>
      <c r="B349" s="2"/>
      <c r="C349" s="2"/>
      <c r="D349" s="2"/>
      <c r="E349" s="2"/>
      <c r="F349" s="2"/>
      <c r="G349" s="2"/>
      <c r="H349" s="2"/>
      <c r="I349" s="2"/>
      <c r="J349" s="2"/>
    </row>
    <row r="350" spans="1:10" x14ac:dyDescent="0.15">
      <c r="A350" s="2"/>
      <c r="B350" s="2"/>
      <c r="C350" s="2"/>
      <c r="D350" s="2"/>
      <c r="E350" s="2"/>
      <c r="F350" s="2"/>
      <c r="G350" s="2"/>
      <c r="H350" s="2"/>
      <c r="I350" s="2"/>
      <c r="J350" s="2"/>
    </row>
    <row r="351" spans="1:10" x14ac:dyDescent="0.15">
      <c r="A351" s="2"/>
      <c r="B351" s="2"/>
      <c r="C351" s="2"/>
      <c r="D351" s="2"/>
      <c r="E351" s="2"/>
      <c r="F351" s="2"/>
      <c r="G351" s="2"/>
      <c r="H351" s="2"/>
      <c r="I351" s="2"/>
      <c r="J351" s="2"/>
    </row>
    <row r="352" spans="1:10" x14ac:dyDescent="0.15">
      <c r="A352" s="2"/>
      <c r="B352" s="2"/>
      <c r="C352" s="2"/>
      <c r="D352" s="2"/>
      <c r="E352" s="2"/>
      <c r="F352" s="2"/>
      <c r="G352" s="2"/>
      <c r="H352" s="2"/>
      <c r="I352" s="2"/>
      <c r="J352" s="2"/>
    </row>
    <row r="353" spans="1:10" x14ac:dyDescent="0.15">
      <c r="A353" s="2"/>
      <c r="B353" s="2"/>
      <c r="C353" s="2"/>
      <c r="D353" s="2"/>
      <c r="E353" s="2"/>
      <c r="F353" s="2"/>
      <c r="G353" s="2"/>
      <c r="H353" s="2"/>
      <c r="I353" s="2"/>
      <c r="J353" s="2"/>
    </row>
    <row r="354" spans="1:10" x14ac:dyDescent="0.15">
      <c r="A354" s="2"/>
      <c r="B354" s="2"/>
      <c r="C354" s="2"/>
      <c r="D354" s="2"/>
      <c r="E354" s="2"/>
      <c r="F354" s="2"/>
      <c r="G354" s="2"/>
      <c r="H354" s="2"/>
      <c r="I354" s="2"/>
      <c r="J354" s="2"/>
    </row>
    <row r="355" spans="1:10" x14ac:dyDescent="0.15">
      <c r="A355" s="2"/>
      <c r="B355" s="2"/>
      <c r="C355" s="2"/>
      <c r="D355" s="2"/>
      <c r="E355" s="2"/>
      <c r="F355" s="2"/>
      <c r="G355" s="2"/>
      <c r="H355" s="2"/>
      <c r="I355" s="2"/>
      <c r="J355" s="2"/>
    </row>
    <row r="356" spans="1:10" x14ac:dyDescent="0.15">
      <c r="A356" s="2"/>
      <c r="B356" s="2"/>
      <c r="C356" s="2"/>
      <c r="D356" s="2"/>
      <c r="E356" s="2"/>
      <c r="F356" s="2"/>
      <c r="G356" s="2"/>
      <c r="H356" s="2"/>
      <c r="I356" s="2"/>
      <c r="J356" s="2"/>
    </row>
    <row r="357" spans="1:10" x14ac:dyDescent="0.15">
      <c r="A357" s="2"/>
      <c r="B357" s="2"/>
      <c r="C357" s="2"/>
      <c r="D357" s="2"/>
      <c r="E357" s="2"/>
      <c r="F357" s="2"/>
      <c r="G357" s="2"/>
      <c r="H357" s="2"/>
      <c r="I357" s="2"/>
      <c r="J357" s="2"/>
    </row>
    <row r="358" spans="1:10" x14ac:dyDescent="0.15">
      <c r="A358" s="2"/>
      <c r="B358" s="2"/>
      <c r="C358" s="2"/>
      <c r="D358" s="2"/>
      <c r="E358" s="2"/>
      <c r="F358" s="2"/>
      <c r="G358" s="2"/>
      <c r="H358" s="2"/>
      <c r="I358" s="2"/>
      <c r="J358" s="2"/>
    </row>
    <row r="359" spans="1:10" x14ac:dyDescent="0.15">
      <c r="A359" s="2"/>
      <c r="B359" s="2"/>
      <c r="C359" s="2"/>
      <c r="D359" s="2"/>
      <c r="E359" s="2"/>
      <c r="F359" s="2"/>
      <c r="G359" s="2"/>
      <c r="H359" s="2"/>
      <c r="I359" s="2"/>
      <c r="J359" s="2"/>
    </row>
    <row r="360" spans="1:10" x14ac:dyDescent="0.15">
      <c r="A360" s="2"/>
      <c r="B360" s="2"/>
      <c r="C360" s="2"/>
      <c r="D360" s="2"/>
      <c r="E360" s="2"/>
      <c r="F360" s="2"/>
      <c r="G360" s="2"/>
      <c r="H360" s="2"/>
      <c r="I360" s="2"/>
      <c r="J360" s="2"/>
    </row>
    <row r="361" spans="1:10" x14ac:dyDescent="0.15">
      <c r="A361" s="2"/>
      <c r="B361" s="2"/>
      <c r="C361" s="2"/>
      <c r="D361" s="2"/>
      <c r="E361" s="2"/>
      <c r="F361" s="2"/>
      <c r="G361" s="2"/>
      <c r="H361" s="2"/>
      <c r="I361" s="2"/>
      <c r="J361" s="2"/>
    </row>
    <row r="362" spans="1:10" x14ac:dyDescent="0.15">
      <c r="A362" s="2"/>
      <c r="B362" s="2"/>
      <c r="C362" s="2"/>
      <c r="D362" s="2"/>
      <c r="E362" s="2"/>
      <c r="F362" s="2"/>
      <c r="G362" s="2"/>
      <c r="H362" s="2"/>
      <c r="I362" s="2"/>
      <c r="J362" s="2"/>
    </row>
    <row r="363" spans="1:10" x14ac:dyDescent="0.15">
      <c r="A363" s="2"/>
      <c r="B363" s="2"/>
      <c r="C363" s="2"/>
      <c r="D363" s="2"/>
      <c r="E363" s="2"/>
      <c r="F363" s="2"/>
      <c r="G363" s="2"/>
      <c r="H363" s="2"/>
      <c r="I363" s="2"/>
      <c r="J363" s="2"/>
    </row>
    <row r="364" spans="1:10" x14ac:dyDescent="0.15">
      <c r="A364" s="2"/>
      <c r="B364" s="2"/>
      <c r="C364" s="2"/>
      <c r="D364" s="2"/>
      <c r="E364" s="2"/>
      <c r="F364" s="2"/>
      <c r="G364" s="2"/>
      <c r="H364" s="2"/>
      <c r="I364" s="2"/>
      <c r="J364" s="2"/>
    </row>
    <row r="365" spans="1:10" x14ac:dyDescent="0.15">
      <c r="A365" s="2"/>
      <c r="B365" s="2"/>
      <c r="C365" s="2"/>
      <c r="D365" s="2"/>
      <c r="E365" s="2"/>
      <c r="F365" s="2"/>
      <c r="G365" s="2"/>
      <c r="H365" s="2"/>
      <c r="I365" s="2"/>
      <c r="J365" s="2"/>
    </row>
    <row r="366" spans="1:10" x14ac:dyDescent="0.15">
      <c r="A366" s="2"/>
      <c r="B366" s="2"/>
      <c r="C366" s="2"/>
      <c r="D366" s="2"/>
      <c r="E366" s="2"/>
      <c r="F366" s="2"/>
      <c r="G366" s="2"/>
      <c r="H366" s="2"/>
      <c r="I366" s="2"/>
      <c r="J366" s="2"/>
    </row>
    <row r="367" spans="1:10" x14ac:dyDescent="0.15">
      <c r="A367" s="2"/>
      <c r="B367" s="2"/>
      <c r="C367" s="2"/>
      <c r="D367" s="2"/>
      <c r="E367" s="2"/>
      <c r="F367" s="2"/>
      <c r="G367" s="2"/>
      <c r="H367" s="2"/>
      <c r="I367" s="2"/>
      <c r="J367" s="2"/>
    </row>
    <row r="368" spans="1:10" x14ac:dyDescent="0.15">
      <c r="A368" s="2"/>
      <c r="B368" s="2"/>
      <c r="C368" s="2"/>
      <c r="D368" s="2"/>
      <c r="E368" s="2"/>
      <c r="F368" s="2"/>
      <c r="G368" s="2"/>
      <c r="H368" s="2"/>
      <c r="I368" s="2"/>
      <c r="J368" s="2"/>
    </row>
    <row r="369" spans="1:10" x14ac:dyDescent="0.15">
      <c r="A369" s="2"/>
      <c r="B369" s="2"/>
      <c r="C369" s="2"/>
      <c r="D369" s="2"/>
      <c r="E369" s="2"/>
      <c r="F369" s="2"/>
      <c r="G369" s="2"/>
      <c r="H369" s="2"/>
      <c r="I369" s="2"/>
      <c r="J369" s="2"/>
    </row>
    <row r="370" spans="1:10" x14ac:dyDescent="0.15">
      <c r="A370" s="2"/>
      <c r="B370" s="2"/>
      <c r="C370" s="2"/>
      <c r="D370" s="2"/>
      <c r="E370" s="2"/>
      <c r="F370" s="2"/>
      <c r="G370" s="2"/>
      <c r="H370" s="2"/>
      <c r="I370" s="2"/>
      <c r="J370" s="2"/>
    </row>
    <row r="371" spans="1:10" x14ac:dyDescent="0.15">
      <c r="A371" s="2"/>
      <c r="B371" s="2"/>
      <c r="C371" s="2"/>
      <c r="D371" s="2"/>
      <c r="E371" s="2"/>
      <c r="F371" s="2"/>
      <c r="G371" s="2"/>
      <c r="H371" s="2"/>
      <c r="I371" s="2"/>
      <c r="J371" s="2"/>
    </row>
    <row r="372" spans="1:10" x14ac:dyDescent="0.15">
      <c r="A372" s="2"/>
      <c r="B372" s="2"/>
      <c r="C372" s="2"/>
      <c r="D372" s="2"/>
      <c r="E372" s="2"/>
      <c r="F372" s="2"/>
      <c r="G372" s="2"/>
      <c r="H372" s="2"/>
      <c r="I372" s="2"/>
      <c r="J372" s="2"/>
    </row>
    <row r="373" spans="1:10" x14ac:dyDescent="0.15">
      <c r="A373" s="2"/>
      <c r="B373" s="2"/>
      <c r="C373" s="2"/>
      <c r="D373" s="2"/>
      <c r="E373" s="2"/>
      <c r="F373" s="2"/>
      <c r="G373" s="2"/>
      <c r="H373" s="2"/>
      <c r="I373" s="2"/>
      <c r="J373" s="2"/>
    </row>
    <row r="374" spans="1:10" x14ac:dyDescent="0.15">
      <c r="A374" s="2"/>
      <c r="B374" s="2"/>
      <c r="C374" s="2"/>
      <c r="D374" s="2"/>
      <c r="E374" s="2"/>
      <c r="F374" s="2"/>
      <c r="G374" s="2"/>
      <c r="H374" s="2"/>
      <c r="I374" s="2"/>
      <c r="J374" s="2"/>
    </row>
    <row r="375" spans="1:10" x14ac:dyDescent="0.15">
      <c r="A375" s="2"/>
      <c r="B375" s="2"/>
      <c r="C375" s="2"/>
      <c r="D375" s="2"/>
      <c r="E375" s="2"/>
      <c r="F375" s="2"/>
      <c r="G375" s="2"/>
      <c r="H375" s="2"/>
      <c r="I375" s="2"/>
      <c r="J375" s="2"/>
    </row>
    <row r="376" spans="1:10" x14ac:dyDescent="0.15">
      <c r="A376" s="2"/>
      <c r="B376" s="2"/>
      <c r="C376" s="2"/>
      <c r="D376" s="2"/>
      <c r="E376" s="2"/>
      <c r="F376" s="2"/>
      <c r="G376" s="2"/>
      <c r="H376" s="2"/>
      <c r="I376" s="2"/>
      <c r="J376" s="2"/>
    </row>
    <row r="377" spans="1:10" x14ac:dyDescent="0.15">
      <c r="A377" s="2"/>
      <c r="B377" s="2"/>
      <c r="C377" s="2"/>
      <c r="D377" s="2"/>
      <c r="E377" s="2"/>
      <c r="F377" s="2"/>
      <c r="G377" s="2"/>
      <c r="H377" s="2"/>
      <c r="I377" s="2"/>
      <c r="J377" s="2"/>
    </row>
    <row r="378" spans="1:10" x14ac:dyDescent="0.15">
      <c r="A378" s="2"/>
      <c r="B378" s="2"/>
      <c r="C378" s="2"/>
      <c r="D378" s="2"/>
      <c r="E378" s="2"/>
      <c r="F378" s="2"/>
      <c r="G378" s="2"/>
      <c r="H378" s="2"/>
      <c r="I378" s="2"/>
      <c r="J378" s="2"/>
    </row>
    <row r="379" spans="1:10" x14ac:dyDescent="0.15">
      <c r="A379" s="2"/>
      <c r="B379" s="2"/>
      <c r="C379" s="2"/>
      <c r="D379" s="2"/>
      <c r="E379" s="2"/>
      <c r="F379" s="2"/>
      <c r="G379" s="2"/>
      <c r="H379" s="2"/>
      <c r="I379" s="2"/>
      <c r="J379" s="2"/>
    </row>
    <row r="380" spans="1:10" x14ac:dyDescent="0.15">
      <c r="A380" s="2"/>
      <c r="B380" s="2"/>
      <c r="C380" s="2"/>
      <c r="D380" s="2"/>
      <c r="E380" s="2"/>
      <c r="F380" s="2"/>
      <c r="G380" s="2"/>
      <c r="H380" s="2"/>
      <c r="I380" s="2"/>
      <c r="J380" s="2"/>
    </row>
    <row r="381" spans="1:10" x14ac:dyDescent="0.15">
      <c r="A381" s="2"/>
      <c r="B381" s="2"/>
      <c r="C381" s="2"/>
      <c r="D381" s="2"/>
      <c r="E381" s="2"/>
      <c r="F381" s="2"/>
      <c r="G381" s="2"/>
      <c r="H381" s="2"/>
      <c r="I381" s="2"/>
      <c r="J381" s="2"/>
    </row>
    <row r="382" spans="1:10" x14ac:dyDescent="0.15">
      <c r="A382" s="2"/>
      <c r="B382" s="2"/>
      <c r="C382" s="2"/>
      <c r="D382" s="2"/>
      <c r="E382" s="2"/>
      <c r="F382" s="2"/>
      <c r="G382" s="2"/>
      <c r="H382" s="2"/>
      <c r="I382" s="2"/>
      <c r="J382" s="2"/>
    </row>
    <row r="383" spans="1:10" x14ac:dyDescent="0.15">
      <c r="A383" s="2"/>
      <c r="B383" s="2"/>
      <c r="C383" s="2"/>
      <c r="D383" s="2"/>
      <c r="E383" s="2"/>
      <c r="F383" s="2"/>
      <c r="G383" s="2"/>
      <c r="H383" s="2"/>
      <c r="I383" s="2"/>
      <c r="J383" s="2"/>
    </row>
    <row r="384" spans="1:10" x14ac:dyDescent="0.15">
      <c r="A384" s="2"/>
      <c r="B384" s="2"/>
      <c r="C384" s="2"/>
      <c r="D384" s="2"/>
      <c r="E384" s="2"/>
      <c r="F384" s="2"/>
      <c r="G384" s="2"/>
      <c r="H384" s="2"/>
      <c r="I384" s="2"/>
      <c r="J384" s="2"/>
    </row>
    <row r="385" spans="1:10" x14ac:dyDescent="0.15">
      <c r="A385" s="2"/>
      <c r="B385" s="2"/>
      <c r="C385" s="2"/>
      <c r="D385" s="2"/>
      <c r="E385" s="2"/>
      <c r="F385" s="2"/>
      <c r="G385" s="2"/>
      <c r="H385" s="2"/>
      <c r="I385" s="2"/>
      <c r="J385" s="2"/>
    </row>
    <row r="386" spans="1:10" x14ac:dyDescent="0.15">
      <c r="A386" s="2"/>
      <c r="B386" s="2"/>
      <c r="C386" s="2"/>
      <c r="D386" s="2"/>
      <c r="E386" s="2"/>
      <c r="F386" s="2"/>
      <c r="G386" s="2"/>
      <c r="H386" s="2"/>
      <c r="I386" s="2"/>
      <c r="J386" s="2"/>
    </row>
    <row r="387" spans="1:10" x14ac:dyDescent="0.15">
      <c r="A387" s="2"/>
      <c r="B387" s="2"/>
      <c r="C387" s="2"/>
      <c r="D387" s="2"/>
      <c r="E387" s="2"/>
      <c r="F387" s="2"/>
      <c r="G387" s="2"/>
      <c r="H387" s="2"/>
      <c r="I387" s="2"/>
      <c r="J387" s="2"/>
    </row>
    <row r="388" spans="1:10" x14ac:dyDescent="0.15">
      <c r="A388" s="2"/>
      <c r="B388" s="2"/>
      <c r="C388" s="2"/>
      <c r="D388" s="2"/>
      <c r="E388" s="2"/>
      <c r="F388" s="2"/>
      <c r="G388" s="2"/>
      <c r="H388" s="2"/>
      <c r="I388" s="2"/>
      <c r="J388" s="2"/>
    </row>
    <row r="389" spans="1:10" x14ac:dyDescent="0.15">
      <c r="A389" s="2"/>
      <c r="B389" s="2"/>
      <c r="C389" s="2"/>
      <c r="D389" s="2"/>
      <c r="E389" s="2"/>
      <c r="F389" s="2"/>
      <c r="G389" s="2"/>
      <c r="H389" s="2"/>
      <c r="I389" s="2"/>
      <c r="J389" s="2"/>
    </row>
    <row r="390" spans="1:10" x14ac:dyDescent="0.15">
      <c r="A390" s="2"/>
      <c r="B390" s="2"/>
      <c r="C390" s="2"/>
      <c r="D390" s="2"/>
      <c r="E390" s="2"/>
      <c r="F390" s="2"/>
      <c r="G390" s="2"/>
      <c r="H390" s="2"/>
      <c r="I390" s="2"/>
      <c r="J390" s="2"/>
    </row>
    <row r="391" spans="1:10" x14ac:dyDescent="0.15">
      <c r="A391" s="2"/>
      <c r="B391" s="2"/>
      <c r="C391" s="2"/>
      <c r="D391" s="2"/>
      <c r="E391" s="2"/>
      <c r="F391" s="2"/>
      <c r="G391" s="2"/>
      <c r="H391" s="2"/>
      <c r="I391" s="2"/>
      <c r="J391" s="2"/>
    </row>
    <row r="392" spans="1:10" x14ac:dyDescent="0.15">
      <c r="A392" s="2"/>
      <c r="B392" s="2"/>
      <c r="C392" s="2"/>
      <c r="D392" s="2"/>
      <c r="E392" s="2"/>
      <c r="F392" s="2"/>
      <c r="G392" s="2"/>
      <c r="H392" s="2"/>
      <c r="I392" s="2"/>
      <c r="J392" s="2"/>
    </row>
    <row r="393" spans="1:10" x14ac:dyDescent="0.15">
      <c r="A393" s="2"/>
      <c r="B393" s="2"/>
      <c r="C393" s="2"/>
      <c r="D393" s="2"/>
      <c r="E393" s="2"/>
      <c r="F393" s="2"/>
      <c r="G393" s="2"/>
      <c r="H393" s="2"/>
      <c r="I393" s="2"/>
      <c r="J393" s="2"/>
    </row>
    <row r="394" spans="1:10" x14ac:dyDescent="0.15">
      <c r="A394" s="2"/>
      <c r="B394" s="2"/>
      <c r="C394" s="2"/>
      <c r="D394" s="2"/>
      <c r="E394" s="2"/>
      <c r="F394" s="2"/>
      <c r="G394" s="2"/>
      <c r="H394" s="2"/>
      <c r="I394" s="2"/>
      <c r="J394" s="2"/>
    </row>
    <row r="395" spans="1:10" x14ac:dyDescent="0.15">
      <c r="A395" s="2"/>
      <c r="B395" s="2"/>
      <c r="C395" s="2"/>
      <c r="D395" s="2"/>
      <c r="E395" s="2"/>
      <c r="F395" s="2"/>
      <c r="G395" s="2"/>
      <c r="H395" s="2"/>
      <c r="I395" s="2"/>
      <c r="J395" s="2"/>
    </row>
    <row r="396" spans="1:10" x14ac:dyDescent="0.15">
      <c r="A396" s="2"/>
      <c r="B396" s="2"/>
      <c r="C396" s="2"/>
      <c r="D396" s="2"/>
      <c r="E396" s="2"/>
      <c r="F396" s="2"/>
      <c r="G396" s="2"/>
      <c r="H396" s="2"/>
      <c r="I396" s="2"/>
      <c r="J396" s="2"/>
    </row>
    <row r="397" spans="1:10" x14ac:dyDescent="0.15">
      <c r="A397" s="2"/>
      <c r="B397" s="2"/>
      <c r="C397" s="2"/>
      <c r="D397" s="2"/>
      <c r="E397" s="2"/>
      <c r="F397" s="2"/>
      <c r="G397" s="2"/>
      <c r="H397" s="2"/>
      <c r="I397" s="2"/>
      <c r="J397" s="2"/>
    </row>
    <row r="398" spans="1:10" x14ac:dyDescent="0.15">
      <c r="A398" s="2"/>
      <c r="B398" s="2"/>
      <c r="C398" s="2"/>
      <c r="D398" s="2"/>
      <c r="E398" s="2"/>
      <c r="F398" s="2"/>
      <c r="G398" s="2"/>
      <c r="H398" s="2"/>
      <c r="I398" s="2"/>
      <c r="J398" s="2"/>
    </row>
    <row r="399" spans="1:10" x14ac:dyDescent="0.15">
      <c r="A399" s="2"/>
      <c r="B399" s="2"/>
      <c r="C399" s="2"/>
      <c r="D399" s="2"/>
      <c r="E399" s="2"/>
      <c r="F399" s="2"/>
      <c r="G399" s="2"/>
      <c r="H399" s="2"/>
      <c r="I399" s="2"/>
      <c r="J399" s="2"/>
    </row>
    <row r="400" spans="1:10" x14ac:dyDescent="0.15">
      <c r="A400" s="2"/>
      <c r="B400" s="2"/>
      <c r="C400" s="2"/>
      <c r="D400" s="2"/>
      <c r="E400" s="2"/>
      <c r="F400" s="2"/>
      <c r="G400" s="2"/>
      <c r="H400" s="2"/>
      <c r="I400" s="2"/>
      <c r="J400" s="2"/>
    </row>
    <row r="401" spans="1:10" x14ac:dyDescent="0.15">
      <c r="A401" s="2"/>
      <c r="B401" s="2"/>
      <c r="C401" s="2"/>
      <c r="D401" s="2"/>
      <c r="E401" s="2"/>
      <c r="F401" s="2"/>
      <c r="G401" s="2"/>
      <c r="H401" s="2"/>
      <c r="I401" s="2"/>
      <c r="J401" s="2"/>
    </row>
    <row r="402" spans="1:10" x14ac:dyDescent="0.15">
      <c r="A402" s="2"/>
      <c r="B402" s="2"/>
      <c r="C402" s="2"/>
      <c r="D402" s="2"/>
      <c r="E402" s="2"/>
      <c r="F402" s="2"/>
      <c r="G402" s="2"/>
      <c r="H402" s="2"/>
      <c r="I402" s="2"/>
      <c r="J402" s="2"/>
    </row>
    <row r="403" spans="1:10" x14ac:dyDescent="0.15">
      <c r="A403" s="2"/>
      <c r="B403" s="2"/>
      <c r="C403" s="2"/>
      <c r="D403" s="2"/>
      <c r="E403" s="2"/>
      <c r="F403" s="2"/>
      <c r="G403" s="2"/>
      <c r="H403" s="2"/>
      <c r="I403" s="2"/>
      <c r="J403" s="2"/>
    </row>
    <row r="404" spans="1:10" x14ac:dyDescent="0.15">
      <c r="A404" s="2"/>
      <c r="B404" s="2"/>
      <c r="C404" s="2"/>
      <c r="D404" s="2"/>
      <c r="E404" s="2"/>
      <c r="F404" s="2"/>
      <c r="G404" s="2"/>
      <c r="H404" s="2"/>
      <c r="I404" s="2"/>
      <c r="J404" s="2"/>
    </row>
    <row r="405" spans="1:10" x14ac:dyDescent="0.15">
      <c r="A405" s="2"/>
      <c r="B405" s="2"/>
      <c r="C405" s="2"/>
      <c r="D405" s="2"/>
      <c r="E405" s="2"/>
      <c r="F405" s="2"/>
      <c r="G405" s="2"/>
      <c r="H405" s="2"/>
      <c r="I405" s="2"/>
      <c r="J405" s="2"/>
    </row>
    <row r="406" spans="1:10" x14ac:dyDescent="0.15">
      <c r="A406" s="2"/>
      <c r="B406" s="2"/>
      <c r="C406" s="2"/>
      <c r="D406" s="2"/>
      <c r="E406" s="2"/>
      <c r="F406" s="2"/>
      <c r="G406" s="2"/>
      <c r="H406" s="2"/>
      <c r="I406" s="2"/>
      <c r="J406" s="2"/>
    </row>
    <row r="407" spans="1:10" x14ac:dyDescent="0.15">
      <c r="A407" s="2"/>
      <c r="B407" s="2"/>
      <c r="C407" s="2"/>
      <c r="D407" s="2"/>
      <c r="E407" s="2"/>
      <c r="F407" s="2"/>
      <c r="G407" s="2"/>
      <c r="H407" s="2"/>
      <c r="I407" s="2"/>
      <c r="J407" s="2"/>
    </row>
    <row r="408" spans="1:10" x14ac:dyDescent="0.15">
      <c r="A408" s="2"/>
      <c r="B408" s="2"/>
      <c r="C408" s="2"/>
      <c r="D408" s="2"/>
      <c r="E408" s="2"/>
      <c r="F408" s="2"/>
      <c r="G408" s="2"/>
      <c r="H408" s="2"/>
      <c r="I408" s="2"/>
      <c r="J408" s="2"/>
    </row>
    <row r="409" spans="1:10" x14ac:dyDescent="0.15">
      <c r="A409" s="2"/>
      <c r="B409" s="2"/>
      <c r="C409" s="2"/>
      <c r="D409" s="2"/>
      <c r="E409" s="2"/>
      <c r="F409" s="2"/>
      <c r="G409" s="2"/>
      <c r="H409" s="2"/>
      <c r="I409" s="2"/>
      <c r="J409" s="2"/>
    </row>
    <row r="410" spans="1:10" x14ac:dyDescent="0.15">
      <c r="A410" s="2"/>
      <c r="B410" s="2"/>
      <c r="C410" s="2"/>
      <c r="D410" s="2"/>
      <c r="E410" s="2"/>
      <c r="F410" s="2"/>
      <c r="G410" s="2"/>
      <c r="H410" s="2"/>
      <c r="I410" s="2"/>
      <c r="J410" s="2"/>
    </row>
    <row r="411" spans="1:10" x14ac:dyDescent="0.15">
      <c r="A411" s="2"/>
      <c r="B411" s="2"/>
      <c r="C411" s="2"/>
      <c r="D411" s="2"/>
      <c r="E411" s="2"/>
      <c r="F411" s="2"/>
      <c r="G411" s="2"/>
      <c r="H411" s="2"/>
      <c r="I411" s="2"/>
      <c r="J411" s="2"/>
    </row>
    <row r="412" spans="1:10" x14ac:dyDescent="0.15">
      <c r="A412" s="2"/>
      <c r="B412" s="2"/>
      <c r="C412" s="2"/>
      <c r="D412" s="2"/>
      <c r="E412" s="2"/>
      <c r="F412" s="2"/>
      <c r="G412" s="2"/>
      <c r="H412" s="2"/>
      <c r="I412" s="2"/>
      <c r="J412" s="2"/>
    </row>
    <row r="413" spans="1:10" x14ac:dyDescent="0.15">
      <c r="A413" s="2"/>
      <c r="B413" s="2"/>
      <c r="C413" s="2"/>
      <c r="D413" s="2"/>
      <c r="E413" s="2"/>
      <c r="F413" s="2"/>
      <c r="G413" s="2"/>
      <c r="H413" s="2"/>
      <c r="I413" s="2"/>
      <c r="J413" s="2"/>
    </row>
    <row r="414" spans="1:10" x14ac:dyDescent="0.15">
      <c r="A414" s="2"/>
      <c r="B414" s="2"/>
      <c r="C414" s="2"/>
      <c r="D414" s="2"/>
      <c r="E414" s="2"/>
      <c r="F414" s="2"/>
      <c r="G414" s="2"/>
      <c r="H414" s="2"/>
      <c r="I414" s="2"/>
      <c r="J414" s="2"/>
    </row>
    <row r="415" spans="1:10" x14ac:dyDescent="0.15">
      <c r="A415" s="2"/>
      <c r="B415" s="2"/>
      <c r="C415" s="2"/>
      <c r="D415" s="2"/>
      <c r="E415" s="2"/>
      <c r="F415" s="2"/>
      <c r="G415" s="2"/>
      <c r="H415" s="2"/>
      <c r="I415" s="2"/>
      <c r="J415" s="2"/>
    </row>
    <row r="416" spans="1:10" x14ac:dyDescent="0.15">
      <c r="A416" s="2"/>
      <c r="B416" s="2"/>
      <c r="C416" s="2"/>
      <c r="D416" s="2"/>
      <c r="E416" s="2"/>
      <c r="F416" s="2"/>
      <c r="G416" s="2"/>
      <c r="H416" s="2"/>
      <c r="I416" s="2"/>
      <c r="J416" s="2"/>
    </row>
    <row r="417" spans="1:10" x14ac:dyDescent="0.15">
      <c r="A417" s="2"/>
      <c r="B417" s="2"/>
      <c r="C417" s="2"/>
      <c r="D417" s="2"/>
      <c r="E417" s="2"/>
      <c r="F417" s="2"/>
      <c r="G417" s="2"/>
      <c r="H417" s="2"/>
      <c r="I417" s="2"/>
      <c r="J417" s="2"/>
    </row>
    <row r="418" spans="1:10" x14ac:dyDescent="0.15">
      <c r="A418" s="2"/>
      <c r="B418" s="2"/>
      <c r="C418" s="2"/>
      <c r="D418" s="2"/>
      <c r="E418" s="2"/>
      <c r="F418" s="2"/>
      <c r="G418" s="2"/>
      <c r="H418" s="2"/>
      <c r="I418" s="2"/>
      <c r="J418" s="2"/>
    </row>
    <row r="419" spans="1:10" x14ac:dyDescent="0.15">
      <c r="A419" s="2"/>
      <c r="B419" s="2"/>
      <c r="C419" s="2"/>
      <c r="D419" s="2"/>
      <c r="E419" s="2"/>
      <c r="F419" s="2"/>
      <c r="G419" s="2"/>
      <c r="H419" s="2"/>
      <c r="I419" s="2"/>
      <c r="J419" s="2"/>
    </row>
    <row r="420" spans="1:10" x14ac:dyDescent="0.15">
      <c r="A420" s="2"/>
      <c r="B420" s="2"/>
      <c r="C420" s="2"/>
      <c r="D420" s="2"/>
      <c r="E420" s="2"/>
      <c r="F420" s="2"/>
      <c r="G420" s="2"/>
      <c r="H420" s="2"/>
      <c r="I420" s="2"/>
      <c r="J420" s="2"/>
    </row>
    <row r="421" spans="1:10" x14ac:dyDescent="0.15">
      <c r="A421" s="2"/>
      <c r="B421" s="2"/>
      <c r="C421" s="2"/>
      <c r="D421" s="2"/>
      <c r="E421" s="2"/>
      <c r="F421" s="2"/>
      <c r="G421" s="2"/>
      <c r="H421" s="2"/>
      <c r="I421" s="2"/>
      <c r="J421" s="2"/>
    </row>
    <row r="422" spans="1:10" x14ac:dyDescent="0.15">
      <c r="A422" s="2"/>
      <c r="B422" s="2"/>
      <c r="C422" s="2"/>
      <c r="D422" s="2"/>
      <c r="E422" s="2"/>
      <c r="F422" s="2"/>
      <c r="G422" s="2"/>
      <c r="H422" s="2"/>
      <c r="I422" s="2"/>
      <c r="J422" s="2"/>
    </row>
    <row r="423" spans="1:10" x14ac:dyDescent="0.15">
      <c r="A423" s="2"/>
      <c r="B423" s="2"/>
      <c r="C423" s="2"/>
      <c r="D423" s="2"/>
      <c r="E423" s="2"/>
      <c r="F423" s="2"/>
      <c r="G423" s="2"/>
      <c r="H423" s="2"/>
      <c r="I423" s="2"/>
      <c r="J423" s="2"/>
    </row>
    <row r="424" spans="1:10" x14ac:dyDescent="0.15">
      <c r="A424" s="2"/>
      <c r="B424" s="2"/>
      <c r="C424" s="2"/>
      <c r="D424" s="2"/>
      <c r="E424" s="2"/>
      <c r="F424" s="2"/>
      <c r="G424" s="2"/>
      <c r="H424" s="2"/>
      <c r="I424" s="2"/>
      <c r="J424" s="2"/>
    </row>
    <row r="425" spans="1:10" x14ac:dyDescent="0.15">
      <c r="A425" s="2"/>
      <c r="B425" s="2"/>
      <c r="C425" s="2"/>
      <c r="D425" s="2"/>
      <c r="E425" s="2"/>
      <c r="F425" s="2"/>
      <c r="G425" s="2"/>
      <c r="H425" s="2"/>
      <c r="I425" s="2"/>
      <c r="J425" s="2"/>
    </row>
    <row r="426" spans="1:10" x14ac:dyDescent="0.15">
      <c r="A426" s="2"/>
      <c r="B426" s="2"/>
      <c r="C426" s="2"/>
      <c r="D426" s="2"/>
      <c r="E426" s="2"/>
      <c r="F426" s="2"/>
      <c r="G426" s="2"/>
      <c r="H426" s="2"/>
      <c r="I426" s="2"/>
      <c r="J426" s="2"/>
    </row>
    <row r="427" spans="1:10" x14ac:dyDescent="0.15">
      <c r="A427" s="2"/>
      <c r="B427" s="2"/>
      <c r="C427" s="2"/>
      <c r="D427" s="2"/>
      <c r="E427" s="2"/>
      <c r="F427" s="2"/>
      <c r="G427" s="2"/>
      <c r="H427" s="2"/>
      <c r="I427" s="2"/>
      <c r="J427" s="2"/>
    </row>
    <row r="428" spans="1:10" x14ac:dyDescent="0.15">
      <c r="A428" s="2"/>
      <c r="B428" s="2"/>
      <c r="C428" s="2"/>
      <c r="D428" s="2"/>
      <c r="E428" s="2"/>
      <c r="F428" s="2"/>
      <c r="G428" s="2"/>
      <c r="H428" s="2"/>
      <c r="I428" s="2"/>
      <c r="J428" s="2"/>
    </row>
    <row r="429" spans="1:10" x14ac:dyDescent="0.15">
      <c r="A429" s="2"/>
      <c r="B429" s="2"/>
      <c r="C429" s="2"/>
      <c r="D429" s="2"/>
      <c r="E429" s="2"/>
      <c r="F429" s="2"/>
      <c r="G429" s="2"/>
      <c r="H429" s="2"/>
      <c r="I429" s="2"/>
      <c r="J429" s="2"/>
    </row>
    <row r="430" spans="1:10" x14ac:dyDescent="0.15">
      <c r="A430" s="2"/>
      <c r="B430" s="2"/>
      <c r="C430" s="2"/>
      <c r="D430" s="2"/>
      <c r="E430" s="2"/>
      <c r="F430" s="2"/>
      <c r="G430" s="2"/>
      <c r="H430" s="2"/>
      <c r="I430" s="2"/>
      <c r="J430" s="2"/>
    </row>
    <row r="431" spans="1:10" x14ac:dyDescent="0.15">
      <c r="A431" s="2"/>
      <c r="B431" s="2"/>
      <c r="C431" s="2"/>
      <c r="D431" s="2"/>
      <c r="E431" s="2"/>
      <c r="F431" s="2"/>
      <c r="G431" s="2"/>
      <c r="H431" s="2"/>
      <c r="I431" s="2"/>
      <c r="J431" s="2"/>
    </row>
    <row r="432" spans="1:10" x14ac:dyDescent="0.15">
      <c r="A432" s="2"/>
      <c r="B432" s="2"/>
      <c r="C432" s="2"/>
      <c r="D432" s="2"/>
      <c r="E432" s="2"/>
      <c r="F432" s="2"/>
      <c r="G432" s="2"/>
      <c r="H432" s="2"/>
      <c r="I432" s="2"/>
      <c r="J432" s="2"/>
    </row>
    <row r="433" spans="1:10" x14ac:dyDescent="0.15">
      <c r="A433" s="2"/>
      <c r="B433" s="2"/>
      <c r="C433" s="2"/>
      <c r="D433" s="2"/>
      <c r="E433" s="2"/>
      <c r="F433" s="2"/>
      <c r="G433" s="2"/>
      <c r="H433" s="2"/>
      <c r="I433" s="2"/>
      <c r="J433" s="2"/>
    </row>
    <row r="434" spans="1:10" x14ac:dyDescent="0.15">
      <c r="A434" s="2"/>
      <c r="B434" s="2"/>
      <c r="C434" s="2"/>
      <c r="D434" s="2"/>
      <c r="E434" s="2"/>
      <c r="F434" s="2"/>
      <c r="G434" s="2"/>
      <c r="H434" s="2"/>
      <c r="I434" s="2"/>
      <c r="J434" s="2"/>
    </row>
    <row r="435" spans="1:10" x14ac:dyDescent="0.15">
      <c r="A435" s="2"/>
      <c r="B435" s="2"/>
      <c r="C435" s="2"/>
      <c r="D435" s="2"/>
      <c r="E435" s="2"/>
      <c r="F435" s="2"/>
      <c r="G435" s="2"/>
      <c r="H435" s="2"/>
      <c r="I435" s="2"/>
      <c r="J435" s="2"/>
    </row>
    <row r="436" spans="1:10" x14ac:dyDescent="0.15">
      <c r="A436" s="2"/>
      <c r="B436" s="2"/>
      <c r="C436" s="2"/>
      <c r="D436" s="2"/>
      <c r="E436" s="2"/>
      <c r="F436" s="2"/>
      <c r="G436" s="2"/>
      <c r="H436" s="2"/>
      <c r="I436" s="2"/>
      <c r="J436" s="2"/>
    </row>
    <row r="437" spans="1:10" x14ac:dyDescent="0.15">
      <c r="A437" s="2"/>
      <c r="B437" s="2"/>
      <c r="C437" s="2"/>
      <c r="D437" s="2"/>
      <c r="E437" s="2"/>
      <c r="F437" s="2"/>
      <c r="G437" s="2"/>
      <c r="H437" s="2"/>
      <c r="I437" s="2"/>
      <c r="J437" s="2"/>
    </row>
    <row r="438" spans="1:10" x14ac:dyDescent="0.15">
      <c r="A438" s="2"/>
      <c r="B438" s="2"/>
      <c r="C438" s="2"/>
      <c r="D438" s="2"/>
      <c r="E438" s="2"/>
      <c r="F438" s="2"/>
      <c r="G438" s="2"/>
      <c r="H438" s="2"/>
      <c r="I438" s="2"/>
      <c r="J438" s="2"/>
    </row>
    <row r="439" spans="1:10" x14ac:dyDescent="0.15">
      <c r="A439" s="2"/>
      <c r="B439" s="2"/>
      <c r="C439" s="2"/>
      <c r="D439" s="2"/>
      <c r="E439" s="2"/>
      <c r="F439" s="2"/>
      <c r="G439" s="2"/>
      <c r="H439" s="2"/>
      <c r="I439" s="2"/>
      <c r="J439" s="2"/>
    </row>
    <row r="440" spans="1:10" x14ac:dyDescent="0.15">
      <c r="A440" s="2"/>
      <c r="B440" s="2"/>
      <c r="C440" s="2"/>
      <c r="D440" s="2"/>
      <c r="E440" s="2"/>
      <c r="F440" s="2"/>
      <c r="G440" s="2"/>
      <c r="H440" s="2"/>
      <c r="I440" s="2"/>
      <c r="J440" s="2"/>
    </row>
    <row r="441" spans="1:10" x14ac:dyDescent="0.15">
      <c r="A441" s="2"/>
      <c r="B441" s="2"/>
      <c r="C441" s="2"/>
      <c r="D441" s="2"/>
      <c r="E441" s="2"/>
      <c r="F441" s="2"/>
      <c r="G441" s="2"/>
      <c r="H441" s="2"/>
      <c r="I441" s="2"/>
      <c r="J441" s="2"/>
    </row>
    <row r="442" spans="1:10" x14ac:dyDescent="0.15">
      <c r="A442" s="2"/>
      <c r="B442" s="2"/>
      <c r="C442" s="2"/>
      <c r="D442" s="2"/>
      <c r="E442" s="2"/>
      <c r="F442" s="2"/>
      <c r="G442" s="2"/>
      <c r="H442" s="2"/>
      <c r="I442" s="2"/>
      <c r="J442" s="2"/>
    </row>
    <row r="443" spans="1:10" x14ac:dyDescent="0.15">
      <c r="A443" s="2"/>
      <c r="B443" s="2"/>
      <c r="C443" s="2"/>
      <c r="D443" s="2"/>
      <c r="E443" s="2"/>
      <c r="F443" s="2"/>
      <c r="G443" s="2"/>
      <c r="H443" s="2"/>
      <c r="I443" s="2"/>
      <c r="J443" s="2"/>
    </row>
    <row r="444" spans="1:10" x14ac:dyDescent="0.15">
      <c r="A444" s="2"/>
      <c r="B444" s="2"/>
      <c r="C444" s="2"/>
      <c r="D444" s="2"/>
      <c r="E444" s="2"/>
      <c r="F444" s="2"/>
      <c r="G444" s="2"/>
      <c r="H444" s="2"/>
      <c r="I444" s="2"/>
      <c r="J444" s="2"/>
    </row>
    <row r="445" spans="1:10" x14ac:dyDescent="0.15">
      <c r="A445" s="2"/>
      <c r="B445" s="2"/>
      <c r="C445" s="2"/>
      <c r="D445" s="2"/>
      <c r="E445" s="2"/>
      <c r="F445" s="2"/>
      <c r="G445" s="2"/>
      <c r="H445" s="2"/>
      <c r="I445" s="2"/>
      <c r="J445" s="2"/>
    </row>
    <row r="446" spans="1:10" x14ac:dyDescent="0.15">
      <c r="A446" s="2"/>
      <c r="B446" s="2"/>
      <c r="C446" s="2"/>
      <c r="D446" s="2"/>
      <c r="E446" s="2"/>
      <c r="F446" s="2"/>
      <c r="G446" s="2"/>
      <c r="H446" s="2"/>
      <c r="I446" s="2"/>
      <c r="J446" s="2"/>
    </row>
    <row r="447" spans="1:10" x14ac:dyDescent="0.15">
      <c r="A447" s="2"/>
      <c r="B447" s="2"/>
      <c r="C447" s="2"/>
      <c r="D447" s="2"/>
      <c r="E447" s="2"/>
      <c r="F447" s="2"/>
      <c r="G447" s="2"/>
      <c r="H447" s="2"/>
      <c r="I447" s="2"/>
      <c r="J447" s="2"/>
    </row>
    <row r="448" spans="1:10" x14ac:dyDescent="0.15">
      <c r="A448" s="2"/>
      <c r="B448" s="2"/>
      <c r="C448" s="2"/>
      <c r="D448" s="2"/>
      <c r="E448" s="2"/>
      <c r="F448" s="2"/>
      <c r="G448" s="2"/>
      <c r="H448" s="2"/>
      <c r="I448" s="2"/>
      <c r="J448" s="2"/>
    </row>
    <row r="449" spans="1:10" x14ac:dyDescent="0.15">
      <c r="A449" s="2"/>
      <c r="B449" s="2"/>
      <c r="C449" s="2"/>
      <c r="D449" s="2"/>
      <c r="E449" s="2"/>
      <c r="F449" s="2"/>
      <c r="G449" s="2"/>
      <c r="H449" s="2"/>
      <c r="I449" s="2"/>
      <c r="J449" s="2"/>
    </row>
    <row r="450" spans="1:10" x14ac:dyDescent="0.15">
      <c r="A450" s="2"/>
      <c r="B450" s="2"/>
      <c r="C450" s="2"/>
      <c r="D450" s="2"/>
      <c r="E450" s="2"/>
      <c r="F450" s="2"/>
      <c r="G450" s="2"/>
      <c r="H450" s="2"/>
      <c r="I450" s="2"/>
      <c r="J450" s="2"/>
    </row>
    <row r="451" spans="1:10" x14ac:dyDescent="0.15">
      <c r="A451" s="2"/>
      <c r="B451" s="2"/>
      <c r="C451" s="2"/>
      <c r="D451" s="2"/>
      <c r="E451" s="2"/>
      <c r="F451" s="2"/>
      <c r="G451" s="2"/>
      <c r="H451" s="2"/>
      <c r="I451" s="2"/>
      <c r="J451" s="2"/>
    </row>
    <row r="452" spans="1:10" x14ac:dyDescent="0.15">
      <c r="A452" s="2"/>
      <c r="B452" s="2"/>
      <c r="C452" s="2"/>
      <c r="D452" s="2"/>
      <c r="E452" s="2"/>
      <c r="F452" s="2"/>
      <c r="G452" s="2"/>
      <c r="H452" s="2"/>
      <c r="I452" s="2"/>
      <c r="J452" s="2"/>
    </row>
    <row r="453" spans="1:10" x14ac:dyDescent="0.15">
      <c r="A453" s="2"/>
      <c r="B453" s="2"/>
      <c r="C453" s="2"/>
      <c r="D453" s="2"/>
      <c r="E453" s="2"/>
      <c r="F453" s="2"/>
      <c r="G453" s="2"/>
      <c r="H453" s="2"/>
      <c r="I453" s="2"/>
      <c r="J453" s="2"/>
    </row>
    <row r="454" spans="1:10" x14ac:dyDescent="0.15">
      <c r="A454" s="2"/>
      <c r="B454" s="2"/>
      <c r="C454" s="2"/>
      <c r="D454" s="2"/>
      <c r="E454" s="2"/>
      <c r="F454" s="2"/>
      <c r="G454" s="2"/>
      <c r="H454" s="2"/>
      <c r="I454" s="2"/>
      <c r="J454" s="2"/>
    </row>
    <row r="455" spans="1:10" x14ac:dyDescent="0.15">
      <c r="A455" s="2"/>
      <c r="B455" s="2"/>
      <c r="C455" s="2"/>
      <c r="D455" s="2"/>
      <c r="E455" s="2"/>
      <c r="F455" s="2"/>
      <c r="G455" s="2"/>
      <c r="H455" s="2"/>
      <c r="I455" s="2"/>
      <c r="J455" s="2"/>
    </row>
    <row r="456" spans="1:10" x14ac:dyDescent="0.15">
      <c r="A456" s="2"/>
      <c r="B456" s="2"/>
      <c r="C456" s="2"/>
      <c r="D456" s="2"/>
      <c r="E456" s="2"/>
      <c r="F456" s="2"/>
      <c r="G456" s="2"/>
      <c r="H456" s="2"/>
      <c r="I456" s="2"/>
      <c r="J456" s="2"/>
    </row>
    <row r="457" spans="1:10" x14ac:dyDescent="0.15">
      <c r="A457" s="2"/>
      <c r="B457" s="2"/>
      <c r="C457" s="2"/>
      <c r="D457" s="2"/>
      <c r="E457" s="2"/>
      <c r="F457" s="2"/>
      <c r="G457" s="2"/>
      <c r="H457" s="2"/>
      <c r="I457" s="2"/>
      <c r="J457" s="2"/>
    </row>
    <row r="458" spans="1:10" x14ac:dyDescent="0.15">
      <c r="A458" s="2"/>
      <c r="B458" s="2"/>
      <c r="C458" s="2"/>
      <c r="D458" s="2"/>
      <c r="E458" s="2"/>
      <c r="F458" s="2"/>
      <c r="G458" s="2"/>
      <c r="H458" s="2"/>
      <c r="I458" s="2"/>
      <c r="J458" s="2"/>
    </row>
    <row r="459" spans="1:10" x14ac:dyDescent="0.15">
      <c r="A459" s="2"/>
      <c r="B459" s="2"/>
      <c r="C459" s="2"/>
      <c r="D459" s="2"/>
      <c r="E459" s="2"/>
      <c r="F459" s="2"/>
      <c r="G459" s="2"/>
      <c r="H459" s="2"/>
      <c r="I459" s="2"/>
      <c r="J459" s="2"/>
    </row>
    <row r="460" spans="1:10" x14ac:dyDescent="0.15">
      <c r="A460" s="2"/>
      <c r="B460" s="2"/>
      <c r="C460" s="2"/>
      <c r="D460" s="2"/>
      <c r="E460" s="2"/>
      <c r="F460" s="2"/>
      <c r="G460" s="2"/>
      <c r="H460" s="2"/>
      <c r="I460" s="2"/>
      <c r="J460" s="2"/>
    </row>
    <row r="461" spans="1:10" x14ac:dyDescent="0.15">
      <c r="A461" s="2"/>
      <c r="B461" s="2"/>
      <c r="C461" s="2"/>
      <c r="D461" s="2"/>
      <c r="E461" s="2"/>
      <c r="F461" s="2"/>
      <c r="G461" s="2"/>
      <c r="H461" s="2"/>
      <c r="I461" s="2"/>
      <c r="J461" s="2"/>
    </row>
    <row r="462" spans="1:10" x14ac:dyDescent="0.15">
      <c r="A462" s="2"/>
      <c r="B462" s="2"/>
      <c r="C462" s="2"/>
      <c r="D462" s="2"/>
      <c r="E462" s="2"/>
      <c r="F462" s="2"/>
      <c r="G462" s="2"/>
      <c r="H462" s="2"/>
      <c r="I462" s="2"/>
      <c r="J462" s="2"/>
    </row>
    <row r="463" spans="1:10" x14ac:dyDescent="0.15">
      <c r="A463" s="2"/>
      <c r="B463" s="2"/>
      <c r="C463" s="2"/>
      <c r="D463" s="2"/>
      <c r="E463" s="2"/>
      <c r="F463" s="2"/>
      <c r="G463" s="2"/>
      <c r="H463" s="2"/>
      <c r="I463" s="2"/>
      <c r="J463" s="2"/>
    </row>
    <row r="464" spans="1:10" x14ac:dyDescent="0.15">
      <c r="A464" s="2"/>
      <c r="B464" s="2"/>
      <c r="C464" s="2"/>
      <c r="D464" s="2"/>
      <c r="E464" s="2"/>
      <c r="F464" s="2"/>
      <c r="G464" s="2"/>
      <c r="H464" s="2"/>
      <c r="I464" s="2"/>
      <c r="J464" s="2"/>
    </row>
    <row r="465" spans="1:10" x14ac:dyDescent="0.15">
      <c r="A465" s="2"/>
      <c r="B465" s="2"/>
      <c r="C465" s="2"/>
      <c r="D465" s="2"/>
      <c r="E465" s="2"/>
      <c r="F465" s="2"/>
      <c r="G465" s="2"/>
      <c r="H465" s="2"/>
      <c r="I465" s="2"/>
      <c r="J465" s="2"/>
    </row>
    <row r="466" spans="1:10" x14ac:dyDescent="0.15">
      <c r="A466" s="2"/>
      <c r="B466" s="2"/>
      <c r="C466" s="2"/>
      <c r="D466" s="2"/>
      <c r="E466" s="2"/>
      <c r="F466" s="2"/>
      <c r="G466" s="2"/>
      <c r="H466" s="2"/>
      <c r="I466" s="2"/>
      <c r="J466" s="2"/>
    </row>
    <row r="467" spans="1:10" x14ac:dyDescent="0.15">
      <c r="A467" s="2"/>
      <c r="B467" s="2"/>
      <c r="C467" s="2"/>
      <c r="D467" s="2"/>
      <c r="E467" s="2"/>
      <c r="F467" s="2"/>
      <c r="G467" s="2"/>
      <c r="H467" s="2"/>
      <c r="I467" s="2"/>
      <c r="J467" s="2"/>
    </row>
    <row r="468" spans="1:10" x14ac:dyDescent="0.15">
      <c r="A468" s="2"/>
      <c r="B468" s="2"/>
      <c r="C468" s="2"/>
      <c r="D468" s="2"/>
      <c r="E468" s="2"/>
      <c r="F468" s="2"/>
      <c r="G468" s="2"/>
      <c r="H468" s="2"/>
      <c r="I468" s="2"/>
      <c r="J468" s="2"/>
    </row>
    <row r="469" spans="1:10" x14ac:dyDescent="0.15">
      <c r="A469" s="2"/>
      <c r="B469" s="2"/>
      <c r="C469" s="2"/>
      <c r="D469" s="2"/>
      <c r="E469" s="2"/>
      <c r="F469" s="2"/>
      <c r="G469" s="2"/>
      <c r="H469" s="2"/>
      <c r="I469" s="2"/>
      <c r="J469" s="2"/>
    </row>
    <row r="470" spans="1:10" x14ac:dyDescent="0.15">
      <c r="A470" s="2"/>
      <c r="B470" s="2"/>
      <c r="C470" s="2"/>
      <c r="D470" s="2"/>
      <c r="E470" s="2"/>
      <c r="F470" s="2"/>
      <c r="G470" s="2"/>
      <c r="H470" s="2"/>
      <c r="I470" s="2"/>
      <c r="J470" s="2"/>
    </row>
    <row r="471" spans="1:10" x14ac:dyDescent="0.15">
      <c r="A471" s="2"/>
      <c r="B471" s="2"/>
      <c r="C471" s="2"/>
      <c r="D471" s="2"/>
      <c r="E471" s="2"/>
      <c r="F471" s="2"/>
      <c r="G471" s="2"/>
      <c r="H471" s="2"/>
      <c r="I471" s="2"/>
      <c r="J471" s="2"/>
    </row>
    <row r="472" spans="1:10" x14ac:dyDescent="0.15">
      <c r="A472" s="2"/>
      <c r="B472" s="2"/>
      <c r="C472" s="2"/>
      <c r="D472" s="2"/>
      <c r="E472" s="2"/>
      <c r="F472" s="2"/>
      <c r="G472" s="2"/>
      <c r="H472" s="2"/>
      <c r="I472" s="2"/>
      <c r="J472" s="2"/>
    </row>
    <row r="473" spans="1:10" x14ac:dyDescent="0.15">
      <c r="A473" s="2"/>
      <c r="B473" s="2"/>
      <c r="C473" s="2"/>
      <c r="D473" s="2"/>
      <c r="E473" s="2"/>
      <c r="F473" s="2"/>
      <c r="G473" s="2"/>
      <c r="H473" s="2"/>
      <c r="I473" s="2"/>
      <c r="J473" s="2"/>
    </row>
    <row r="474" spans="1:10" x14ac:dyDescent="0.15">
      <c r="A474" s="2"/>
      <c r="B474" s="2"/>
      <c r="C474" s="2"/>
      <c r="D474" s="2"/>
      <c r="E474" s="2"/>
      <c r="F474" s="2"/>
      <c r="G474" s="2"/>
      <c r="H474" s="2"/>
      <c r="I474" s="2"/>
      <c r="J474" s="2"/>
    </row>
    <row r="475" spans="1:10" x14ac:dyDescent="0.15">
      <c r="A475" s="2"/>
      <c r="B475" s="2"/>
      <c r="C475" s="2"/>
      <c r="D475" s="2"/>
      <c r="E475" s="2"/>
      <c r="F475" s="2"/>
      <c r="G475" s="2"/>
      <c r="H475" s="2"/>
      <c r="I475" s="2"/>
      <c r="J475" s="2"/>
    </row>
    <row r="476" spans="1:10" x14ac:dyDescent="0.15">
      <c r="A476" s="2"/>
      <c r="B476" s="2"/>
      <c r="C476" s="2"/>
      <c r="D476" s="2"/>
      <c r="E476" s="2"/>
      <c r="F476" s="2"/>
      <c r="G476" s="2"/>
      <c r="H476" s="2"/>
      <c r="I476" s="2"/>
      <c r="J476" s="2"/>
    </row>
    <row r="477" spans="1:10" x14ac:dyDescent="0.15">
      <c r="A477" s="2"/>
      <c r="B477" s="2"/>
      <c r="C477" s="2"/>
      <c r="D477" s="2"/>
      <c r="E477" s="2"/>
      <c r="F477" s="2"/>
      <c r="G477" s="2"/>
      <c r="H477" s="2"/>
      <c r="I477" s="2"/>
      <c r="J477" s="2"/>
    </row>
    <row r="478" spans="1:10" x14ac:dyDescent="0.15">
      <c r="A478" s="2"/>
      <c r="B478" s="2"/>
      <c r="C478" s="2"/>
      <c r="D478" s="2"/>
      <c r="E478" s="2"/>
      <c r="F478" s="2"/>
      <c r="G478" s="2"/>
      <c r="H478" s="2"/>
      <c r="I478" s="2"/>
      <c r="J478" s="2"/>
    </row>
    <row r="479" spans="1:10" x14ac:dyDescent="0.15">
      <c r="A479" s="2"/>
      <c r="B479" s="2"/>
      <c r="C479" s="2"/>
      <c r="D479" s="2"/>
      <c r="E479" s="2"/>
      <c r="F479" s="2"/>
      <c r="G479" s="2"/>
      <c r="H479" s="2"/>
      <c r="I479" s="2"/>
      <c r="J479" s="2"/>
    </row>
    <row r="480" spans="1:10" x14ac:dyDescent="0.15">
      <c r="A480" s="2"/>
      <c r="B480" s="2"/>
      <c r="C480" s="2"/>
      <c r="D480" s="2"/>
      <c r="E480" s="2"/>
      <c r="F480" s="2"/>
      <c r="G480" s="2"/>
      <c r="H480" s="2"/>
      <c r="I480" s="2"/>
      <c r="J480" s="2"/>
    </row>
    <row r="481" spans="1:10" x14ac:dyDescent="0.15">
      <c r="A481" s="2"/>
      <c r="B481" s="2"/>
      <c r="C481" s="2"/>
      <c r="D481" s="2"/>
      <c r="E481" s="2"/>
      <c r="F481" s="2"/>
      <c r="G481" s="2"/>
      <c r="H481" s="2"/>
      <c r="I481" s="2"/>
      <c r="J481" s="2"/>
    </row>
    <row r="482" spans="1:10" x14ac:dyDescent="0.15">
      <c r="A482" s="2"/>
      <c r="B482" s="2"/>
      <c r="C482" s="2"/>
      <c r="D482" s="2"/>
      <c r="E482" s="2"/>
      <c r="F482" s="2"/>
      <c r="G482" s="2"/>
      <c r="H482" s="2"/>
      <c r="I482" s="2"/>
      <c r="J482" s="2"/>
    </row>
    <row r="483" spans="1:10" x14ac:dyDescent="0.15">
      <c r="A483" s="2"/>
      <c r="B483" s="2"/>
      <c r="C483" s="2"/>
      <c r="D483" s="2"/>
      <c r="E483" s="2"/>
      <c r="F483" s="2"/>
      <c r="G483" s="2"/>
      <c r="H483" s="2"/>
      <c r="I483" s="2"/>
      <c r="J483" s="2"/>
    </row>
    <row r="484" spans="1:10" x14ac:dyDescent="0.15">
      <c r="A484" s="2"/>
      <c r="B484" s="2"/>
      <c r="C484" s="2"/>
      <c r="D484" s="2"/>
      <c r="E484" s="2"/>
      <c r="F484" s="2"/>
      <c r="G484" s="2"/>
      <c r="H484" s="2"/>
      <c r="I484" s="2"/>
      <c r="J484" s="2"/>
    </row>
    <row r="485" spans="1:10" x14ac:dyDescent="0.15">
      <c r="A485" s="2"/>
      <c r="B485" s="2"/>
      <c r="C485" s="2"/>
      <c r="D485" s="2"/>
      <c r="E485" s="2"/>
      <c r="F485" s="2"/>
      <c r="G485" s="2"/>
      <c r="H485" s="2"/>
      <c r="I485" s="2"/>
      <c r="J485" s="2"/>
    </row>
    <row r="486" spans="1:10" x14ac:dyDescent="0.15">
      <c r="A486" s="2"/>
      <c r="B486" s="2"/>
      <c r="C486" s="2"/>
      <c r="D486" s="2"/>
      <c r="E486" s="2"/>
      <c r="F486" s="2"/>
      <c r="G486" s="2"/>
      <c r="H486" s="2"/>
      <c r="I486" s="2"/>
      <c r="J486" s="2"/>
    </row>
    <row r="487" spans="1:10" x14ac:dyDescent="0.15">
      <c r="A487" s="2"/>
      <c r="B487" s="2"/>
      <c r="C487" s="2"/>
      <c r="D487" s="2"/>
      <c r="E487" s="2"/>
      <c r="F487" s="2"/>
      <c r="G487" s="2"/>
      <c r="H487" s="2"/>
      <c r="I487" s="2"/>
      <c r="J487" s="2"/>
    </row>
    <row r="488" spans="1:10" x14ac:dyDescent="0.15">
      <c r="A488" s="2"/>
      <c r="B488" s="2"/>
      <c r="C488" s="2"/>
      <c r="D488" s="2"/>
      <c r="E488" s="2"/>
      <c r="F488" s="2"/>
      <c r="G488" s="2"/>
      <c r="H488" s="2"/>
      <c r="I488" s="2"/>
      <c r="J488" s="2"/>
    </row>
    <row r="489" spans="1:10" x14ac:dyDescent="0.15">
      <c r="A489" s="2"/>
      <c r="B489" s="2"/>
      <c r="C489" s="2"/>
      <c r="D489" s="2"/>
      <c r="E489" s="2"/>
      <c r="F489" s="2"/>
      <c r="G489" s="2"/>
      <c r="H489" s="2"/>
      <c r="I489" s="2"/>
      <c r="J489" s="2"/>
    </row>
    <row r="490" spans="1:10" x14ac:dyDescent="0.15">
      <c r="A490" s="2"/>
      <c r="B490" s="2"/>
      <c r="C490" s="2"/>
      <c r="D490" s="2"/>
      <c r="E490" s="2"/>
      <c r="F490" s="2"/>
      <c r="G490" s="2"/>
      <c r="H490" s="2"/>
      <c r="I490" s="2"/>
      <c r="J490" s="2"/>
    </row>
    <row r="491" spans="1:10" x14ac:dyDescent="0.15">
      <c r="A491" s="2"/>
      <c r="B491" s="2"/>
      <c r="C491" s="2"/>
      <c r="D491" s="2"/>
      <c r="E491" s="2"/>
      <c r="F491" s="2"/>
      <c r="G491" s="2"/>
      <c r="H491" s="2"/>
      <c r="I491" s="2"/>
      <c r="J491" s="2"/>
    </row>
    <row r="492" spans="1:10" x14ac:dyDescent="0.15">
      <c r="A492" s="2"/>
      <c r="B492" s="2"/>
      <c r="C492" s="2"/>
      <c r="D492" s="2"/>
      <c r="E492" s="2"/>
      <c r="F492" s="2"/>
      <c r="G492" s="2"/>
      <c r="H492" s="2"/>
      <c r="I492" s="2"/>
      <c r="J492" s="2"/>
    </row>
    <row r="493" spans="1:10" x14ac:dyDescent="0.15">
      <c r="A493" s="2"/>
      <c r="B493" s="2"/>
      <c r="C493" s="2"/>
      <c r="D493" s="2"/>
      <c r="E493" s="2"/>
      <c r="F493" s="2"/>
      <c r="G493" s="2"/>
      <c r="H493" s="2"/>
      <c r="I493" s="2"/>
      <c r="J493" s="2"/>
    </row>
    <row r="494" spans="1:10" x14ac:dyDescent="0.15">
      <c r="A494" s="2"/>
      <c r="B494" s="2"/>
      <c r="C494" s="2"/>
      <c r="D494" s="2"/>
      <c r="E494" s="2"/>
      <c r="F494" s="2"/>
      <c r="G494" s="2"/>
      <c r="H494" s="2"/>
      <c r="I494" s="2"/>
      <c r="J494" s="2"/>
    </row>
    <row r="495" spans="1:10" x14ac:dyDescent="0.15">
      <c r="A495" s="2"/>
      <c r="B495" s="2"/>
      <c r="C495" s="2"/>
      <c r="D495" s="2"/>
      <c r="E495" s="2"/>
      <c r="F495" s="2"/>
      <c r="G495" s="2"/>
      <c r="H495" s="2"/>
      <c r="I495" s="2"/>
      <c r="J495" s="2"/>
    </row>
    <row r="496" spans="1:10" x14ac:dyDescent="0.15">
      <c r="A496" s="2"/>
      <c r="B496" s="2"/>
      <c r="C496" s="2"/>
      <c r="D496" s="2"/>
      <c r="E496" s="2"/>
      <c r="F496" s="2"/>
      <c r="G496" s="2"/>
      <c r="H496" s="2"/>
      <c r="I496" s="2"/>
      <c r="J496" s="2"/>
    </row>
    <row r="497" spans="1:10" x14ac:dyDescent="0.15">
      <c r="A497" s="2"/>
      <c r="B497" s="2"/>
      <c r="C497" s="2"/>
      <c r="D497" s="2"/>
      <c r="E497" s="2"/>
      <c r="F497" s="2"/>
      <c r="G497" s="2"/>
      <c r="H497" s="2"/>
      <c r="I497" s="2"/>
      <c r="J497" s="2"/>
    </row>
    <row r="498" spans="1:10" x14ac:dyDescent="0.15">
      <c r="A498" s="2"/>
      <c r="B498" s="2"/>
      <c r="C498" s="2"/>
      <c r="D498" s="2"/>
      <c r="E498" s="2"/>
      <c r="F498" s="2"/>
      <c r="G498" s="2"/>
      <c r="H498" s="2"/>
      <c r="I498" s="2"/>
      <c r="J498" s="2"/>
    </row>
    <row r="499" spans="1:10" x14ac:dyDescent="0.15">
      <c r="A499" s="2"/>
      <c r="B499" s="2"/>
      <c r="C499" s="2"/>
      <c r="D499" s="2"/>
      <c r="E499" s="2"/>
      <c r="F499" s="2"/>
      <c r="G499" s="2"/>
      <c r="H499" s="2"/>
      <c r="I499" s="2"/>
      <c r="J499" s="2"/>
    </row>
    <row r="500" spans="1:10" x14ac:dyDescent="0.15">
      <c r="A500" s="2"/>
      <c r="B500" s="2"/>
      <c r="C500" s="2"/>
      <c r="D500" s="2"/>
      <c r="E500" s="2"/>
      <c r="F500" s="2"/>
      <c r="G500" s="2"/>
      <c r="H500" s="2"/>
      <c r="I500" s="2"/>
      <c r="J500" s="2"/>
    </row>
    <row r="501" spans="1:10" x14ac:dyDescent="0.15">
      <c r="A501" s="2"/>
      <c r="B501" s="2"/>
      <c r="C501" s="2"/>
      <c r="D501" s="2"/>
      <c r="E501" s="2"/>
      <c r="F501" s="2"/>
      <c r="G501" s="2"/>
      <c r="H501" s="2"/>
      <c r="I501" s="2"/>
      <c r="J501" s="2"/>
    </row>
    <row r="502" spans="1:10" x14ac:dyDescent="0.15">
      <c r="A502" s="2"/>
      <c r="B502" s="2"/>
      <c r="C502" s="2"/>
      <c r="D502" s="2"/>
      <c r="E502" s="2"/>
      <c r="F502" s="2"/>
      <c r="G502" s="2"/>
      <c r="H502" s="2"/>
      <c r="I502" s="2"/>
      <c r="J502" s="2"/>
    </row>
    <row r="503" spans="1:10" x14ac:dyDescent="0.15">
      <c r="A503" s="2"/>
      <c r="B503" s="2"/>
      <c r="C503" s="2"/>
      <c r="D503" s="2"/>
      <c r="E503" s="2"/>
      <c r="F503" s="2"/>
      <c r="G503" s="2"/>
      <c r="H503" s="2"/>
      <c r="I503" s="2"/>
      <c r="J503" s="2"/>
    </row>
    <row r="504" spans="1:10" x14ac:dyDescent="0.15">
      <c r="A504" s="2"/>
      <c r="B504" s="2"/>
      <c r="C504" s="2"/>
      <c r="D504" s="2"/>
      <c r="E504" s="2"/>
      <c r="F504" s="2"/>
      <c r="G504" s="2"/>
      <c r="H504" s="2"/>
      <c r="I504" s="2"/>
      <c r="J504" s="2"/>
    </row>
    <row r="505" spans="1:10" x14ac:dyDescent="0.15">
      <c r="A505" s="2"/>
      <c r="B505" s="2"/>
      <c r="C505" s="2"/>
      <c r="D505" s="2"/>
      <c r="E505" s="2"/>
      <c r="F505" s="2"/>
      <c r="G505" s="2"/>
      <c r="H505" s="2"/>
      <c r="I505" s="2"/>
      <c r="J505" s="2"/>
    </row>
    <row r="506" spans="1:10" x14ac:dyDescent="0.15">
      <c r="A506" s="2"/>
      <c r="B506" s="2"/>
      <c r="C506" s="2"/>
      <c r="D506" s="2"/>
      <c r="E506" s="2"/>
      <c r="F506" s="2"/>
      <c r="G506" s="2"/>
      <c r="H506" s="2"/>
      <c r="I506" s="2"/>
      <c r="J506" s="2"/>
    </row>
    <row r="507" spans="1:10" x14ac:dyDescent="0.15">
      <c r="A507" s="2"/>
      <c r="B507" s="2"/>
      <c r="C507" s="2"/>
      <c r="D507" s="2"/>
      <c r="E507" s="2"/>
      <c r="F507" s="2"/>
      <c r="G507" s="2"/>
      <c r="H507" s="2"/>
      <c r="I507" s="2"/>
      <c r="J507" s="2"/>
    </row>
    <row r="508" spans="1:10" x14ac:dyDescent="0.15">
      <c r="A508" s="2"/>
      <c r="B508" s="2"/>
      <c r="C508" s="2"/>
      <c r="D508" s="2"/>
      <c r="E508" s="2"/>
      <c r="F508" s="2"/>
      <c r="G508" s="2"/>
      <c r="H508" s="2"/>
      <c r="I508" s="2"/>
      <c r="J508" s="2"/>
    </row>
    <row r="509" spans="1:10" x14ac:dyDescent="0.15">
      <c r="A509" s="2"/>
      <c r="B509" s="2"/>
      <c r="C509" s="2"/>
      <c r="D509" s="2"/>
      <c r="E509" s="2"/>
      <c r="F509" s="2"/>
      <c r="G509" s="2"/>
      <c r="H509" s="2"/>
      <c r="I509" s="2"/>
      <c r="J509" s="2"/>
    </row>
    <row r="510" spans="1:10" x14ac:dyDescent="0.15">
      <c r="A510" s="2"/>
      <c r="B510" s="2"/>
      <c r="C510" s="2"/>
      <c r="D510" s="2"/>
      <c r="E510" s="2"/>
      <c r="F510" s="2"/>
      <c r="G510" s="2"/>
      <c r="H510" s="2"/>
      <c r="I510" s="2"/>
      <c r="J510" s="2"/>
    </row>
    <row r="511" spans="1:10" x14ac:dyDescent="0.15">
      <c r="A511" s="2"/>
      <c r="B511" s="2"/>
      <c r="C511" s="2"/>
      <c r="D511" s="2"/>
      <c r="E511" s="2"/>
      <c r="F511" s="2"/>
      <c r="G511" s="2"/>
      <c r="H511" s="2"/>
      <c r="I511" s="2"/>
      <c r="J511" s="2"/>
    </row>
    <row r="512" spans="1:10" x14ac:dyDescent="0.15">
      <c r="A512" s="2"/>
      <c r="B512" s="2"/>
      <c r="C512" s="2"/>
      <c r="D512" s="2"/>
      <c r="E512" s="2"/>
      <c r="F512" s="2"/>
      <c r="G512" s="2"/>
      <c r="H512" s="2"/>
      <c r="I512" s="2"/>
      <c r="J512" s="2"/>
    </row>
    <row r="513" spans="1:10" x14ac:dyDescent="0.15">
      <c r="A513" s="2"/>
      <c r="B513" s="2"/>
      <c r="C513" s="2"/>
      <c r="D513" s="2"/>
      <c r="E513" s="2"/>
      <c r="F513" s="2"/>
      <c r="G513" s="2"/>
      <c r="H513" s="2"/>
      <c r="I513" s="2"/>
      <c r="J513" s="2"/>
    </row>
    <row r="514" spans="1:10" x14ac:dyDescent="0.15">
      <c r="A514" s="2"/>
      <c r="B514" s="2"/>
      <c r="C514" s="2"/>
      <c r="D514" s="2"/>
      <c r="E514" s="2"/>
      <c r="F514" s="2"/>
      <c r="G514" s="2"/>
      <c r="H514" s="2"/>
      <c r="I514" s="2"/>
      <c r="J514" s="2"/>
    </row>
    <row r="515" spans="1:10" x14ac:dyDescent="0.15">
      <c r="A515" s="2"/>
      <c r="B515" s="2"/>
      <c r="C515" s="2"/>
      <c r="D515" s="2"/>
      <c r="E515" s="2"/>
      <c r="F515" s="2"/>
      <c r="G515" s="2"/>
      <c r="H515" s="2"/>
      <c r="I515" s="2"/>
      <c r="J515" s="2"/>
    </row>
    <row r="516" spans="1:10" x14ac:dyDescent="0.15">
      <c r="A516" s="2"/>
      <c r="B516" s="2"/>
      <c r="C516" s="2"/>
      <c r="D516" s="2"/>
      <c r="E516" s="2"/>
      <c r="F516" s="2"/>
      <c r="G516" s="2"/>
      <c r="H516" s="2"/>
      <c r="I516" s="2"/>
      <c r="J516" s="2"/>
    </row>
    <row r="517" spans="1:10" x14ac:dyDescent="0.15">
      <c r="A517" s="2"/>
      <c r="B517" s="2"/>
      <c r="C517" s="2"/>
      <c r="D517" s="2"/>
      <c r="E517" s="2"/>
      <c r="F517" s="2"/>
      <c r="G517" s="2"/>
      <c r="H517" s="2"/>
      <c r="I517" s="2"/>
      <c r="J517" s="2"/>
    </row>
    <row r="518" spans="1:10" x14ac:dyDescent="0.15">
      <c r="A518" s="2"/>
      <c r="B518" s="2"/>
      <c r="C518" s="2"/>
      <c r="D518" s="2"/>
      <c r="E518" s="2"/>
      <c r="F518" s="2"/>
      <c r="G518" s="2"/>
      <c r="H518" s="2"/>
      <c r="I518" s="2"/>
      <c r="J518" s="2"/>
    </row>
    <row r="519" spans="1:10" x14ac:dyDescent="0.15">
      <c r="A519" s="2"/>
      <c r="B519" s="2"/>
      <c r="C519" s="2"/>
      <c r="D519" s="2"/>
      <c r="E519" s="2"/>
      <c r="F519" s="2"/>
      <c r="G519" s="2"/>
      <c r="H519" s="2"/>
      <c r="I519" s="2"/>
      <c r="J519" s="2"/>
    </row>
    <row r="520" spans="1:10" x14ac:dyDescent="0.15">
      <c r="A520" s="2"/>
      <c r="B520" s="2"/>
      <c r="C520" s="2"/>
      <c r="D520" s="2"/>
      <c r="E520" s="2"/>
      <c r="F520" s="2"/>
      <c r="G520" s="2"/>
      <c r="H520" s="2"/>
      <c r="I520" s="2"/>
      <c r="J520" s="2"/>
    </row>
    <row r="521" spans="1:10" x14ac:dyDescent="0.15">
      <c r="A521" s="2"/>
      <c r="B521" s="2"/>
      <c r="C521" s="2"/>
      <c r="D521" s="2"/>
      <c r="E521" s="2"/>
      <c r="F521" s="2"/>
      <c r="G521" s="2"/>
      <c r="H521" s="2"/>
      <c r="I521" s="2"/>
      <c r="J521" s="2"/>
    </row>
    <row r="522" spans="1:10" x14ac:dyDescent="0.15">
      <c r="A522" s="2"/>
      <c r="B522" s="2"/>
      <c r="C522" s="2"/>
      <c r="D522" s="2"/>
      <c r="E522" s="2"/>
      <c r="F522" s="2"/>
      <c r="G522" s="2"/>
      <c r="H522" s="2"/>
      <c r="I522" s="2"/>
      <c r="J522" s="2"/>
    </row>
    <row r="523" spans="1:10" x14ac:dyDescent="0.15">
      <c r="A523" s="2"/>
      <c r="B523" s="2"/>
      <c r="C523" s="2"/>
      <c r="D523" s="2"/>
      <c r="E523" s="2"/>
      <c r="F523" s="2"/>
      <c r="G523" s="2"/>
      <c r="H523" s="2"/>
      <c r="I523" s="2"/>
      <c r="J523" s="2"/>
    </row>
    <row r="524" spans="1:10" x14ac:dyDescent="0.15">
      <c r="A524" s="2"/>
      <c r="B524" s="2"/>
      <c r="C524" s="2"/>
      <c r="D524" s="2"/>
      <c r="E524" s="2"/>
      <c r="F524" s="2"/>
      <c r="G524" s="2"/>
      <c r="H524" s="2"/>
      <c r="I524" s="2"/>
      <c r="J524" s="2"/>
    </row>
    <row r="525" spans="1:10" x14ac:dyDescent="0.15">
      <c r="A525" s="2"/>
      <c r="B525" s="2"/>
      <c r="C525" s="2"/>
      <c r="D525" s="2"/>
      <c r="E525" s="2"/>
      <c r="F525" s="2"/>
      <c r="G525" s="2"/>
      <c r="H525" s="2"/>
      <c r="I525" s="2"/>
      <c r="J525" s="2"/>
    </row>
    <row r="526" spans="1:10" x14ac:dyDescent="0.15">
      <c r="A526" s="2"/>
      <c r="B526" s="2"/>
      <c r="C526" s="2"/>
      <c r="D526" s="2"/>
      <c r="E526" s="2"/>
      <c r="F526" s="2"/>
      <c r="G526" s="2"/>
      <c r="H526" s="2"/>
      <c r="I526" s="2"/>
      <c r="J526" s="2"/>
    </row>
    <row r="527" spans="1:10" x14ac:dyDescent="0.15">
      <c r="A527" s="2"/>
      <c r="B527" s="2"/>
      <c r="C527" s="2"/>
      <c r="D527" s="2"/>
      <c r="E527" s="2"/>
      <c r="F527" s="2"/>
      <c r="G527" s="2"/>
      <c r="H527" s="2"/>
      <c r="I527" s="2"/>
      <c r="J527" s="2"/>
    </row>
    <row r="528" spans="1:10" x14ac:dyDescent="0.15">
      <c r="A528" s="2"/>
      <c r="B528" s="2"/>
      <c r="C528" s="2"/>
      <c r="D528" s="2"/>
      <c r="E528" s="2"/>
      <c r="F528" s="2"/>
      <c r="G528" s="2"/>
      <c r="H528" s="2"/>
      <c r="I528" s="2"/>
      <c r="J528" s="2"/>
    </row>
    <row r="529" spans="1:10" x14ac:dyDescent="0.15">
      <c r="A529" s="2"/>
      <c r="B529" s="2"/>
      <c r="C529" s="2"/>
      <c r="D529" s="2"/>
      <c r="E529" s="2"/>
      <c r="F529" s="2"/>
      <c r="G529" s="2"/>
      <c r="H529" s="2"/>
      <c r="I529" s="2"/>
      <c r="J529" s="2"/>
    </row>
    <row r="530" spans="1:10" x14ac:dyDescent="0.15">
      <c r="A530" s="2"/>
      <c r="B530" s="2"/>
      <c r="C530" s="2"/>
      <c r="D530" s="2"/>
      <c r="E530" s="2"/>
      <c r="F530" s="2"/>
      <c r="G530" s="2"/>
      <c r="H530" s="2"/>
      <c r="I530" s="2"/>
      <c r="J530" s="2"/>
    </row>
    <row r="531" spans="1:10" x14ac:dyDescent="0.15">
      <c r="A531" s="2"/>
      <c r="B531" s="2"/>
      <c r="C531" s="2"/>
      <c r="D531" s="2"/>
      <c r="E531" s="2"/>
      <c r="F531" s="2"/>
      <c r="G531" s="2"/>
      <c r="H531" s="2"/>
      <c r="I531" s="2"/>
      <c r="J531" s="2"/>
    </row>
    <row r="532" spans="1:10" x14ac:dyDescent="0.15">
      <c r="A532" s="2"/>
      <c r="B532" s="2"/>
      <c r="C532" s="2"/>
      <c r="D532" s="2"/>
      <c r="E532" s="2"/>
      <c r="F532" s="2"/>
      <c r="G532" s="2"/>
      <c r="H532" s="2"/>
      <c r="I532" s="2"/>
      <c r="J532" s="2"/>
    </row>
    <row r="533" spans="1:10" x14ac:dyDescent="0.15">
      <c r="A533" s="2"/>
      <c r="B533" s="2"/>
      <c r="C533" s="2"/>
      <c r="D533" s="2"/>
      <c r="E533" s="2"/>
      <c r="F533" s="2"/>
      <c r="G533" s="2"/>
      <c r="H533" s="2"/>
      <c r="I533" s="2"/>
      <c r="J533" s="2"/>
    </row>
    <row r="534" spans="1:10" x14ac:dyDescent="0.15">
      <c r="A534" s="2"/>
      <c r="B534" s="2"/>
      <c r="C534" s="2"/>
      <c r="D534" s="2"/>
      <c r="E534" s="2"/>
      <c r="F534" s="2"/>
      <c r="G534" s="2"/>
      <c r="H534" s="2"/>
      <c r="I534" s="2"/>
      <c r="J534" s="2"/>
    </row>
    <row r="535" spans="1:10" x14ac:dyDescent="0.15">
      <c r="A535" s="2"/>
      <c r="B535" s="2"/>
      <c r="C535" s="2"/>
      <c r="D535" s="2"/>
      <c r="E535" s="2"/>
      <c r="F535" s="2"/>
      <c r="G535" s="2"/>
      <c r="H535" s="2"/>
      <c r="I535" s="2"/>
      <c r="J535" s="2"/>
    </row>
    <row r="536" spans="1:10" x14ac:dyDescent="0.15">
      <c r="A536" s="2"/>
      <c r="B536" s="2"/>
      <c r="C536" s="2"/>
      <c r="D536" s="2"/>
      <c r="E536" s="2"/>
      <c r="F536" s="2"/>
      <c r="G536" s="2"/>
      <c r="H536" s="2"/>
      <c r="I536" s="2"/>
      <c r="J536" s="2"/>
    </row>
    <row r="537" spans="1:10" x14ac:dyDescent="0.15">
      <c r="A537" s="2"/>
      <c r="B537" s="2"/>
      <c r="C537" s="2"/>
      <c r="D537" s="2"/>
      <c r="E537" s="2"/>
      <c r="F537" s="2"/>
      <c r="G537" s="2"/>
      <c r="H537" s="2"/>
      <c r="I537" s="2"/>
      <c r="J537" s="2"/>
    </row>
    <row r="538" spans="1:10" x14ac:dyDescent="0.15">
      <c r="A538" s="2"/>
      <c r="B538" s="2"/>
      <c r="C538" s="2"/>
      <c r="D538" s="2"/>
      <c r="E538" s="2"/>
      <c r="F538" s="2"/>
      <c r="G538" s="2"/>
      <c r="H538" s="2"/>
      <c r="I538" s="2"/>
      <c r="J538" s="2"/>
    </row>
    <row r="539" spans="1:10" x14ac:dyDescent="0.15">
      <c r="A539" s="2"/>
      <c r="B539" s="2"/>
      <c r="C539" s="2"/>
      <c r="D539" s="2"/>
      <c r="E539" s="2"/>
      <c r="F539" s="2"/>
      <c r="G539" s="2"/>
      <c r="H539" s="2"/>
      <c r="I539" s="2"/>
      <c r="J539" s="2"/>
    </row>
    <row r="540" spans="1:10" x14ac:dyDescent="0.15">
      <c r="A540" s="2"/>
      <c r="B540" s="2"/>
      <c r="C540" s="2"/>
      <c r="D540" s="2"/>
      <c r="E540" s="2"/>
      <c r="F540" s="2"/>
      <c r="G540" s="2"/>
      <c r="H540" s="2"/>
      <c r="I540" s="2"/>
      <c r="J540" s="2"/>
    </row>
    <row r="541" spans="1:10" x14ac:dyDescent="0.15">
      <c r="A541" s="2"/>
      <c r="B541" s="2"/>
      <c r="C541" s="2"/>
      <c r="D541" s="2"/>
      <c r="E541" s="2"/>
      <c r="F541" s="2"/>
      <c r="G541" s="2"/>
      <c r="H541" s="2"/>
      <c r="I541" s="2"/>
      <c r="J541" s="2"/>
    </row>
    <row r="542" spans="1:10" x14ac:dyDescent="0.15">
      <c r="A542" s="2"/>
      <c r="B542" s="2"/>
      <c r="C542" s="2"/>
      <c r="D542" s="2"/>
      <c r="E542" s="2"/>
      <c r="F542" s="2"/>
      <c r="G542" s="2"/>
      <c r="H542" s="2"/>
      <c r="I542" s="2"/>
      <c r="J542" s="2"/>
    </row>
    <row r="543" spans="1:10" x14ac:dyDescent="0.15">
      <c r="A543" s="2"/>
      <c r="B543" s="2"/>
      <c r="C543" s="2"/>
      <c r="D543" s="2"/>
      <c r="E543" s="2"/>
      <c r="F543" s="2"/>
      <c r="G543" s="2"/>
      <c r="H543" s="2"/>
      <c r="I543" s="2"/>
      <c r="J543" s="2"/>
    </row>
    <row r="544" spans="1:10" x14ac:dyDescent="0.15">
      <c r="A544" s="2"/>
      <c r="B544" s="2"/>
      <c r="C544" s="2"/>
      <c r="D544" s="2"/>
      <c r="E544" s="2"/>
      <c r="F544" s="2"/>
      <c r="G544" s="2"/>
      <c r="H544" s="2"/>
      <c r="I544" s="2"/>
      <c r="J544" s="2"/>
    </row>
    <row r="545" spans="1:10" x14ac:dyDescent="0.15">
      <c r="A545" s="2"/>
      <c r="B545" s="2"/>
      <c r="C545" s="2"/>
      <c r="D545" s="2"/>
      <c r="E545" s="2"/>
      <c r="F545" s="2"/>
      <c r="G545" s="2"/>
      <c r="H545" s="2"/>
      <c r="I545" s="2"/>
      <c r="J545" s="2"/>
    </row>
    <row r="546" spans="1:10" x14ac:dyDescent="0.15">
      <c r="A546" s="2"/>
      <c r="B546" s="2"/>
      <c r="C546" s="2"/>
      <c r="D546" s="2"/>
      <c r="E546" s="2"/>
      <c r="F546" s="2"/>
      <c r="G546" s="2"/>
      <c r="H546" s="2"/>
      <c r="I546" s="2"/>
      <c r="J546" s="2"/>
    </row>
    <row r="547" spans="1:10" x14ac:dyDescent="0.15">
      <c r="A547" s="2"/>
      <c r="B547" s="2"/>
      <c r="C547" s="2"/>
      <c r="D547" s="2"/>
      <c r="E547" s="2"/>
      <c r="F547" s="2"/>
      <c r="G547" s="2"/>
      <c r="H547" s="2"/>
      <c r="I547" s="2"/>
      <c r="J547" s="2"/>
    </row>
    <row r="548" spans="1:10" x14ac:dyDescent="0.15">
      <c r="A548" s="2"/>
      <c r="B548" s="2"/>
      <c r="C548" s="2"/>
      <c r="D548" s="2"/>
      <c r="E548" s="2"/>
      <c r="F548" s="2"/>
      <c r="G548" s="2"/>
      <c r="H548" s="2"/>
      <c r="I548" s="2"/>
      <c r="J548" s="2"/>
    </row>
    <row r="549" spans="1:10" x14ac:dyDescent="0.15">
      <c r="A549" s="2"/>
      <c r="B549" s="2"/>
      <c r="C549" s="2"/>
      <c r="D549" s="2"/>
      <c r="E549" s="2"/>
      <c r="F549" s="2"/>
      <c r="G549" s="2"/>
      <c r="H549" s="2"/>
      <c r="I549" s="2"/>
      <c r="J549" s="2"/>
    </row>
    <row r="550" spans="1:10" x14ac:dyDescent="0.15">
      <c r="A550" s="2"/>
      <c r="B550" s="2"/>
      <c r="C550" s="2"/>
      <c r="D550" s="2"/>
      <c r="E550" s="2"/>
      <c r="F550" s="2"/>
      <c r="G550" s="2"/>
      <c r="H550" s="2"/>
      <c r="I550" s="2"/>
      <c r="J550" s="2"/>
    </row>
    <row r="551" spans="1:10" x14ac:dyDescent="0.15">
      <c r="A551" s="2"/>
      <c r="B551" s="2"/>
      <c r="C551" s="2"/>
      <c r="D551" s="2"/>
      <c r="E551" s="2"/>
      <c r="F551" s="2"/>
      <c r="G551" s="2"/>
      <c r="H551" s="2"/>
      <c r="I551" s="2"/>
      <c r="J551" s="2"/>
    </row>
    <row r="552" spans="1:10" x14ac:dyDescent="0.15">
      <c r="A552" s="2"/>
      <c r="B552" s="2"/>
      <c r="C552" s="2"/>
      <c r="D552" s="2"/>
      <c r="E552" s="2"/>
      <c r="F552" s="2"/>
      <c r="G552" s="2"/>
      <c r="H552" s="2"/>
      <c r="I552" s="2"/>
      <c r="J552" s="2"/>
    </row>
    <row r="553" spans="1:10" x14ac:dyDescent="0.15">
      <c r="A553" s="2"/>
      <c r="B553" s="2"/>
      <c r="C553" s="2"/>
      <c r="D553" s="2"/>
      <c r="E553" s="2"/>
      <c r="F553" s="2"/>
      <c r="G553" s="2"/>
      <c r="H553" s="2"/>
      <c r="I553" s="2"/>
      <c r="J553" s="2"/>
    </row>
    <row r="554" spans="1:10" x14ac:dyDescent="0.15">
      <c r="A554" s="2"/>
      <c r="B554" s="2"/>
      <c r="C554" s="2"/>
      <c r="D554" s="2"/>
      <c r="E554" s="2"/>
      <c r="F554" s="2"/>
      <c r="G554" s="2"/>
      <c r="H554" s="2"/>
      <c r="I554" s="2"/>
      <c r="J554" s="2"/>
    </row>
    <row r="555" spans="1:10" x14ac:dyDescent="0.15">
      <c r="A555" s="2"/>
      <c r="B555" s="2"/>
      <c r="C555" s="2"/>
      <c r="D555" s="2"/>
      <c r="E555" s="2"/>
      <c r="F555" s="2"/>
      <c r="G555" s="2"/>
      <c r="H555" s="2"/>
      <c r="I555" s="2"/>
      <c r="J555" s="2"/>
    </row>
    <row r="556" spans="1:10" x14ac:dyDescent="0.15">
      <c r="A556" s="2"/>
      <c r="B556" s="2"/>
      <c r="C556" s="2"/>
      <c r="D556" s="2"/>
      <c r="E556" s="2"/>
      <c r="F556" s="2"/>
      <c r="G556" s="2"/>
      <c r="H556" s="2"/>
      <c r="I556" s="2"/>
      <c r="J556" s="2"/>
    </row>
    <row r="557" spans="1:10" x14ac:dyDescent="0.15">
      <c r="A557" s="2"/>
      <c r="B557" s="2"/>
      <c r="C557" s="2"/>
      <c r="D557" s="2"/>
      <c r="E557" s="2"/>
      <c r="F557" s="2"/>
      <c r="G557" s="2"/>
      <c r="H557" s="2"/>
      <c r="I557" s="2"/>
      <c r="J557" s="2"/>
    </row>
    <row r="558" spans="1:10" x14ac:dyDescent="0.15">
      <c r="A558" s="2"/>
      <c r="B558" s="2"/>
      <c r="C558" s="2"/>
      <c r="D558" s="2"/>
      <c r="E558" s="2"/>
      <c r="F558" s="2"/>
      <c r="G558" s="2"/>
      <c r="H558" s="2"/>
      <c r="I558" s="2"/>
      <c r="J558" s="2"/>
    </row>
    <row r="559" spans="1:10" x14ac:dyDescent="0.15">
      <c r="A559" s="2"/>
      <c r="B559" s="2"/>
      <c r="C559" s="2"/>
      <c r="D559" s="2"/>
      <c r="E559" s="2"/>
      <c r="F559" s="2"/>
      <c r="G559" s="2"/>
      <c r="H559" s="2"/>
      <c r="I559" s="2"/>
      <c r="J559" s="2"/>
    </row>
    <row r="560" spans="1:10" x14ac:dyDescent="0.15">
      <c r="A560" s="2"/>
      <c r="B560" s="2"/>
      <c r="C560" s="2"/>
      <c r="D560" s="2"/>
      <c r="E560" s="2"/>
      <c r="F560" s="2"/>
      <c r="G560" s="2"/>
      <c r="H560" s="2"/>
      <c r="I560" s="2"/>
      <c r="J560" s="2"/>
    </row>
    <row r="561" spans="1:10" x14ac:dyDescent="0.15">
      <c r="A561" s="2"/>
      <c r="B561" s="2"/>
      <c r="C561" s="2"/>
      <c r="D561" s="2"/>
      <c r="E561" s="2"/>
      <c r="F561" s="2"/>
      <c r="G561" s="2"/>
      <c r="H561" s="2"/>
      <c r="I561" s="2"/>
      <c r="J561" s="2"/>
    </row>
    <row r="562" spans="1:10" x14ac:dyDescent="0.15">
      <c r="A562" s="2"/>
      <c r="B562" s="2"/>
      <c r="C562" s="2"/>
      <c r="D562" s="2"/>
      <c r="E562" s="2"/>
      <c r="F562" s="2"/>
      <c r="G562" s="2"/>
      <c r="H562" s="2"/>
      <c r="I562" s="2"/>
      <c r="J562" s="2"/>
    </row>
    <row r="563" spans="1:10" x14ac:dyDescent="0.15">
      <c r="A563" s="2"/>
      <c r="B563" s="2"/>
      <c r="C563" s="2"/>
      <c r="D563" s="2"/>
      <c r="E563" s="2"/>
      <c r="F563" s="2"/>
      <c r="G563" s="2"/>
      <c r="H563" s="2"/>
      <c r="I563" s="2"/>
      <c r="J563" s="2"/>
    </row>
    <row r="564" spans="1:10" x14ac:dyDescent="0.15">
      <c r="A564" s="2"/>
      <c r="B564" s="2"/>
      <c r="C564" s="2"/>
      <c r="D564" s="2"/>
      <c r="E564" s="2"/>
      <c r="F564" s="2"/>
      <c r="G564" s="2"/>
      <c r="H564" s="2"/>
      <c r="I564" s="2"/>
      <c r="J564" s="2"/>
    </row>
    <row r="565" spans="1:10" x14ac:dyDescent="0.15">
      <c r="A565" s="2"/>
      <c r="B565" s="2"/>
      <c r="C565" s="2"/>
      <c r="D565" s="2"/>
      <c r="E565" s="2"/>
      <c r="F565" s="2"/>
      <c r="G565" s="2"/>
      <c r="H565" s="2"/>
      <c r="I565" s="2"/>
      <c r="J565" s="2"/>
    </row>
    <row r="566" spans="1:10" x14ac:dyDescent="0.15">
      <c r="A566" s="2"/>
      <c r="B566" s="2"/>
      <c r="C566" s="2"/>
      <c r="D566" s="2"/>
      <c r="E566" s="2"/>
      <c r="F566" s="2"/>
      <c r="G566" s="2"/>
      <c r="H566" s="2"/>
      <c r="I566" s="2"/>
      <c r="J566" s="2"/>
    </row>
    <row r="567" spans="1:10" x14ac:dyDescent="0.15">
      <c r="A567" s="2"/>
      <c r="B567" s="2"/>
      <c r="C567" s="2"/>
      <c r="D567" s="2"/>
      <c r="E567" s="2"/>
      <c r="F567" s="2"/>
      <c r="G567" s="2"/>
      <c r="H567" s="2"/>
      <c r="I567" s="2"/>
      <c r="J567" s="2"/>
    </row>
    <row r="568" spans="1:10" x14ac:dyDescent="0.15">
      <c r="A568" s="2"/>
      <c r="B568" s="2"/>
      <c r="C568" s="2"/>
      <c r="D568" s="2"/>
      <c r="E568" s="2"/>
      <c r="F568" s="2"/>
      <c r="G568" s="2"/>
      <c r="H568" s="2"/>
      <c r="I568" s="2"/>
      <c r="J568" s="2"/>
    </row>
    <row r="569" spans="1:10" x14ac:dyDescent="0.15">
      <c r="A569" s="2"/>
      <c r="B569" s="2"/>
      <c r="C569" s="2"/>
      <c r="D569" s="2"/>
      <c r="E569" s="2"/>
      <c r="F569" s="2"/>
      <c r="G569" s="2"/>
      <c r="H569" s="2"/>
      <c r="I569" s="2"/>
      <c r="J569" s="2"/>
    </row>
    <row r="570" spans="1:10" x14ac:dyDescent="0.15">
      <c r="A570" s="2"/>
      <c r="B570" s="2"/>
      <c r="C570" s="2"/>
      <c r="D570" s="2"/>
      <c r="E570" s="2"/>
      <c r="F570" s="2"/>
      <c r="G570" s="2"/>
      <c r="H570" s="2"/>
      <c r="I570" s="2"/>
      <c r="J570" s="2"/>
    </row>
    <row r="571" spans="1:10" x14ac:dyDescent="0.15">
      <c r="A571" s="2"/>
      <c r="B571" s="2"/>
      <c r="C571" s="2"/>
      <c r="D571" s="2"/>
      <c r="E571" s="2"/>
      <c r="F571" s="2"/>
      <c r="G571" s="2"/>
      <c r="H571" s="2"/>
      <c r="I571" s="2"/>
      <c r="J571" s="2"/>
    </row>
    <row r="572" spans="1:10" x14ac:dyDescent="0.15">
      <c r="A572" s="2"/>
      <c r="B572" s="2"/>
      <c r="C572" s="2"/>
      <c r="D572" s="2"/>
      <c r="E572" s="2"/>
      <c r="F572" s="2"/>
      <c r="G572" s="2"/>
      <c r="H572" s="2"/>
      <c r="I572" s="2"/>
      <c r="J572" s="2"/>
    </row>
    <row r="573" spans="1:10" x14ac:dyDescent="0.15">
      <c r="A573" s="2"/>
      <c r="B573" s="2"/>
      <c r="C573" s="2"/>
      <c r="D573" s="2"/>
      <c r="E573" s="2"/>
      <c r="F573" s="2"/>
      <c r="G573" s="2"/>
      <c r="H573" s="2"/>
      <c r="I573" s="2"/>
      <c r="J573" s="2"/>
    </row>
    <row r="574" spans="1:10" x14ac:dyDescent="0.15">
      <c r="A574" s="2"/>
      <c r="B574" s="2"/>
      <c r="C574" s="2"/>
      <c r="D574" s="2"/>
      <c r="E574" s="2"/>
      <c r="F574" s="2"/>
      <c r="G574" s="2"/>
      <c r="H574" s="2"/>
      <c r="I574" s="2"/>
      <c r="J574" s="2"/>
    </row>
    <row r="575" spans="1:10" x14ac:dyDescent="0.15">
      <c r="A575" s="2"/>
      <c r="B575" s="2"/>
      <c r="C575" s="2"/>
      <c r="D575" s="2"/>
      <c r="E575" s="2"/>
      <c r="F575" s="2"/>
      <c r="G575" s="2"/>
      <c r="H575" s="2"/>
      <c r="I575" s="2"/>
      <c r="J575" s="2"/>
    </row>
    <row r="576" spans="1:10" x14ac:dyDescent="0.15">
      <c r="A576" s="2"/>
      <c r="B576" s="2"/>
      <c r="C576" s="2"/>
      <c r="D576" s="2"/>
      <c r="E576" s="2"/>
      <c r="F576" s="2"/>
      <c r="G576" s="2"/>
      <c r="H576" s="2"/>
      <c r="I576" s="2"/>
      <c r="J576" s="2"/>
    </row>
  </sheetData>
  <autoFilter ref="A1:L1" xr:uid="{00000000-0001-0000-0100-000000000000}"/>
  <phoneticPr fontId="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144"/>
  <sheetViews>
    <sheetView workbookViewId="0">
      <selection activeCell="E7" sqref="E7"/>
    </sheetView>
  </sheetViews>
  <sheetFormatPr defaultColWidth="9" defaultRowHeight="13.5" x14ac:dyDescent="0.15"/>
  <cols>
    <col min="2" max="2" width="8.375" customWidth="1"/>
    <col min="3" max="3" width="7.875" customWidth="1"/>
    <col min="4" max="4" width="18" customWidth="1"/>
  </cols>
  <sheetData>
    <row r="1" spans="1:6" ht="27" x14ac:dyDescent="0.15">
      <c r="A1" s="6" t="s">
        <v>33</v>
      </c>
      <c r="B1" s="6" t="s">
        <v>34</v>
      </c>
      <c r="C1" s="6" t="s">
        <v>35</v>
      </c>
      <c r="D1" s="6" t="s">
        <v>36</v>
      </c>
      <c r="E1" s="7" t="s">
        <v>37</v>
      </c>
      <c r="F1" s="8" t="s">
        <v>38</v>
      </c>
    </row>
    <row r="2" spans="1:6" x14ac:dyDescent="0.15">
      <c r="A2" s="6" t="s">
        <v>39</v>
      </c>
      <c r="B2" s="6" t="s">
        <v>40</v>
      </c>
      <c r="C2" s="9" t="s">
        <v>41</v>
      </c>
      <c r="D2" s="6" t="s">
        <v>42</v>
      </c>
      <c r="E2" s="7" t="s">
        <v>43</v>
      </c>
      <c r="F2" s="10">
        <v>1833468</v>
      </c>
    </row>
    <row r="3" spans="1:6" x14ac:dyDescent="0.15">
      <c r="A3" s="6" t="s">
        <v>39</v>
      </c>
      <c r="B3" s="6" t="s">
        <v>40</v>
      </c>
      <c r="C3" s="9" t="s">
        <v>44</v>
      </c>
      <c r="D3" s="6" t="s">
        <v>45</v>
      </c>
      <c r="E3" s="7" t="s">
        <v>46</v>
      </c>
      <c r="F3" s="10">
        <v>216163</v>
      </c>
    </row>
    <row r="4" spans="1:6" x14ac:dyDescent="0.15">
      <c r="A4" s="6" t="s">
        <v>39</v>
      </c>
      <c r="B4" s="6" t="s">
        <v>40</v>
      </c>
      <c r="C4" s="9" t="s">
        <v>47</v>
      </c>
      <c r="D4" s="6" t="s">
        <v>48</v>
      </c>
      <c r="E4" s="7" t="s">
        <v>49</v>
      </c>
      <c r="F4" s="10">
        <v>119375</v>
      </c>
    </row>
    <row r="5" spans="1:6" x14ac:dyDescent="0.15">
      <c r="A5" s="6" t="s">
        <v>39</v>
      </c>
      <c r="B5" s="6" t="s">
        <v>40</v>
      </c>
      <c r="C5" s="9" t="s">
        <v>50</v>
      </c>
      <c r="D5" s="6" t="s">
        <v>51</v>
      </c>
      <c r="E5" s="7" t="s">
        <v>46</v>
      </c>
      <c r="F5" s="10">
        <v>150629</v>
      </c>
    </row>
    <row r="6" spans="1:6" x14ac:dyDescent="0.15">
      <c r="A6" s="6" t="s">
        <v>39</v>
      </c>
      <c r="B6" s="6" t="s">
        <v>40</v>
      </c>
      <c r="C6" s="9" t="s">
        <v>52</v>
      </c>
      <c r="D6" s="6" t="s">
        <v>53</v>
      </c>
      <c r="E6" s="7" t="s">
        <v>54</v>
      </c>
      <c r="F6" s="10">
        <v>495588</v>
      </c>
    </row>
    <row r="7" spans="1:6" x14ac:dyDescent="0.15">
      <c r="A7" s="6" t="s">
        <v>39</v>
      </c>
      <c r="B7" s="6" t="s">
        <v>40</v>
      </c>
      <c r="C7" s="9" t="s">
        <v>55</v>
      </c>
      <c r="D7" s="6" t="s">
        <v>56</v>
      </c>
      <c r="E7" s="7" t="s">
        <v>57</v>
      </c>
      <c r="F7" s="10">
        <v>345600</v>
      </c>
    </row>
    <row r="8" spans="1:6" x14ac:dyDescent="0.15">
      <c r="A8" s="6" t="s">
        <v>58</v>
      </c>
      <c r="B8" s="6" t="s">
        <v>59</v>
      </c>
      <c r="C8" s="9" t="s">
        <v>60</v>
      </c>
      <c r="D8" s="6" t="s">
        <v>61</v>
      </c>
      <c r="E8" s="7" t="s">
        <v>49</v>
      </c>
      <c r="F8" s="10">
        <v>127956</v>
      </c>
    </row>
    <row r="9" spans="1:6" x14ac:dyDescent="0.15">
      <c r="A9" s="6" t="s">
        <v>39</v>
      </c>
      <c r="B9" s="6" t="s">
        <v>59</v>
      </c>
      <c r="C9" s="9" t="s">
        <v>62</v>
      </c>
      <c r="D9" s="6" t="s">
        <v>63</v>
      </c>
      <c r="E9" s="7" t="s">
        <v>46</v>
      </c>
      <c r="F9" s="10">
        <v>171612</v>
      </c>
    </row>
    <row r="10" spans="1:6" x14ac:dyDescent="0.15">
      <c r="A10" s="6" t="s">
        <v>39</v>
      </c>
      <c r="B10" s="6" t="s">
        <v>59</v>
      </c>
      <c r="C10" s="9" t="s">
        <v>64</v>
      </c>
      <c r="D10" s="6" t="s">
        <v>65</v>
      </c>
      <c r="E10" s="7" t="s">
        <v>57</v>
      </c>
      <c r="F10" s="10">
        <v>239126</v>
      </c>
    </row>
    <row r="11" spans="1:6" x14ac:dyDescent="0.15">
      <c r="A11" s="6" t="s">
        <v>39</v>
      </c>
      <c r="B11" s="6" t="s">
        <v>59</v>
      </c>
      <c r="C11" s="9" t="s">
        <v>66</v>
      </c>
      <c r="D11" s="6" t="s">
        <v>67</v>
      </c>
      <c r="E11" s="7" t="s">
        <v>49</v>
      </c>
      <c r="F11" s="10">
        <v>89712</v>
      </c>
    </row>
    <row r="12" spans="1:6" x14ac:dyDescent="0.15">
      <c r="A12" s="6" t="s">
        <v>39</v>
      </c>
      <c r="B12" s="6" t="s">
        <v>59</v>
      </c>
      <c r="C12" s="9" t="s">
        <v>68</v>
      </c>
      <c r="D12" s="6" t="s">
        <v>69</v>
      </c>
      <c r="E12" s="7" t="s">
        <v>49</v>
      </c>
      <c r="F12" s="10">
        <v>75923</v>
      </c>
    </row>
    <row r="13" spans="1:6" x14ac:dyDescent="0.15">
      <c r="A13" s="6" t="s">
        <v>39</v>
      </c>
      <c r="B13" s="6" t="s">
        <v>59</v>
      </c>
      <c r="C13" s="9" t="s">
        <v>70</v>
      </c>
      <c r="D13" s="6" t="s">
        <v>71</v>
      </c>
      <c r="E13" s="7" t="s">
        <v>57</v>
      </c>
      <c r="F13" s="10">
        <v>334530</v>
      </c>
    </row>
    <row r="14" spans="1:6" x14ac:dyDescent="0.15">
      <c r="A14" s="6" t="s">
        <v>58</v>
      </c>
      <c r="B14" s="6" t="s">
        <v>59</v>
      </c>
      <c r="C14" s="9" t="s">
        <v>72</v>
      </c>
      <c r="D14" s="6" t="s">
        <v>73</v>
      </c>
      <c r="E14" s="7" t="s">
        <v>57</v>
      </c>
      <c r="F14" s="10">
        <v>275611</v>
      </c>
    </row>
    <row r="15" spans="1:6" x14ac:dyDescent="0.15">
      <c r="A15" s="6" t="s">
        <v>39</v>
      </c>
      <c r="B15" s="6" t="s">
        <v>59</v>
      </c>
      <c r="C15" s="9" t="s">
        <v>74</v>
      </c>
      <c r="D15" s="6" t="s">
        <v>75</v>
      </c>
      <c r="E15" s="7" t="s">
        <v>46</v>
      </c>
      <c r="F15" s="10">
        <v>208865</v>
      </c>
    </row>
    <row r="16" spans="1:6" x14ac:dyDescent="0.15">
      <c r="A16" s="6" t="s">
        <v>39</v>
      </c>
      <c r="B16" s="6" t="s">
        <v>59</v>
      </c>
      <c r="C16" s="9" t="s">
        <v>76</v>
      </c>
      <c r="D16" s="6" t="s">
        <v>77</v>
      </c>
      <c r="E16" s="7" t="s">
        <v>54</v>
      </c>
      <c r="F16" s="10">
        <v>851473</v>
      </c>
    </row>
    <row r="17" spans="1:6" x14ac:dyDescent="0.15">
      <c r="A17" s="6" t="s">
        <v>39</v>
      </c>
      <c r="B17" s="6" t="s">
        <v>59</v>
      </c>
      <c r="C17" s="9" t="s">
        <v>78</v>
      </c>
      <c r="D17" s="6" t="s">
        <v>79</v>
      </c>
      <c r="E17" s="7" t="s">
        <v>54</v>
      </c>
      <c r="F17" s="10">
        <v>973856</v>
      </c>
    </row>
    <row r="18" spans="1:6" x14ac:dyDescent="0.15">
      <c r="A18" s="6" t="s">
        <v>39</v>
      </c>
      <c r="B18" s="6" t="s">
        <v>59</v>
      </c>
      <c r="C18" s="9" t="s">
        <v>80</v>
      </c>
      <c r="D18" s="6" t="s">
        <v>81</v>
      </c>
      <c r="E18" s="7" t="s">
        <v>57</v>
      </c>
      <c r="F18" s="10">
        <v>251608</v>
      </c>
    </row>
    <row r="19" spans="1:6" x14ac:dyDescent="0.15">
      <c r="A19" s="6" t="s">
        <v>58</v>
      </c>
      <c r="B19" s="6" t="s">
        <v>59</v>
      </c>
      <c r="C19" s="9" t="s">
        <v>82</v>
      </c>
      <c r="D19" s="6" t="s">
        <v>83</v>
      </c>
      <c r="E19" s="7" t="s">
        <v>49</v>
      </c>
      <c r="F19" s="10">
        <v>72609</v>
      </c>
    </row>
    <row r="20" spans="1:6" x14ac:dyDescent="0.15">
      <c r="A20" s="6" t="s">
        <v>39</v>
      </c>
      <c r="B20" s="6" t="s">
        <v>59</v>
      </c>
      <c r="C20" s="9" t="s">
        <v>84</v>
      </c>
      <c r="D20" s="6" t="s">
        <v>85</v>
      </c>
      <c r="E20" s="7" t="s">
        <v>46</v>
      </c>
      <c r="F20" s="10">
        <v>183105</v>
      </c>
    </row>
    <row r="21" spans="1:6" x14ac:dyDescent="0.15">
      <c r="A21" s="6" t="s">
        <v>39</v>
      </c>
      <c r="B21" s="6" t="s">
        <v>59</v>
      </c>
      <c r="C21" s="9" t="s">
        <v>86</v>
      </c>
      <c r="D21" s="6" t="s">
        <v>87</v>
      </c>
      <c r="E21" s="7" t="s">
        <v>46</v>
      </c>
      <c r="F21" s="10">
        <v>214278</v>
      </c>
    </row>
    <row r="22" spans="1:6" x14ac:dyDescent="0.15">
      <c r="A22" s="6" t="s">
        <v>39</v>
      </c>
      <c r="B22" s="6" t="s">
        <v>59</v>
      </c>
      <c r="C22" s="9" t="s">
        <v>88</v>
      </c>
      <c r="D22" s="6" t="s">
        <v>89</v>
      </c>
      <c r="E22" s="7" t="s">
        <v>57</v>
      </c>
      <c r="F22" s="10">
        <v>262229</v>
      </c>
    </row>
    <row r="23" spans="1:6" x14ac:dyDescent="0.15">
      <c r="A23" s="6" t="s">
        <v>39</v>
      </c>
      <c r="B23" s="6" t="s">
        <v>59</v>
      </c>
      <c r="C23" s="9" t="s">
        <v>90</v>
      </c>
      <c r="D23" s="6" t="s">
        <v>91</v>
      </c>
      <c r="E23" s="7" t="s">
        <v>46</v>
      </c>
      <c r="F23" s="10">
        <v>233749</v>
      </c>
    </row>
    <row r="24" spans="1:6" x14ac:dyDescent="0.15">
      <c r="A24" s="6" t="s">
        <v>58</v>
      </c>
      <c r="B24" s="6" t="s">
        <v>59</v>
      </c>
      <c r="C24" s="9" t="s">
        <v>92</v>
      </c>
      <c r="D24" s="6" t="s">
        <v>93</v>
      </c>
      <c r="E24" s="7" t="s">
        <v>49</v>
      </c>
      <c r="F24" s="10">
        <v>27169</v>
      </c>
    </row>
    <row r="25" spans="1:6" x14ac:dyDescent="0.15">
      <c r="A25" s="6" t="s">
        <v>39</v>
      </c>
      <c r="B25" s="6" t="s">
        <v>59</v>
      </c>
      <c r="C25" s="9" t="s">
        <v>94</v>
      </c>
      <c r="D25" s="6" t="s">
        <v>95</v>
      </c>
      <c r="E25" s="7" t="s">
        <v>57</v>
      </c>
      <c r="F25" s="10">
        <v>318128</v>
      </c>
    </row>
    <row r="26" spans="1:6" x14ac:dyDescent="0.15">
      <c r="A26" s="6" t="s">
        <v>39</v>
      </c>
      <c r="B26" s="6" t="s">
        <v>59</v>
      </c>
      <c r="C26" s="9" t="s">
        <v>96</v>
      </c>
      <c r="D26" s="6" t="s">
        <v>97</v>
      </c>
      <c r="E26" s="7" t="s">
        <v>49</v>
      </c>
      <c r="F26" s="10">
        <v>124962</v>
      </c>
    </row>
    <row r="27" spans="1:6" x14ac:dyDescent="0.15">
      <c r="A27" s="6" t="s">
        <v>58</v>
      </c>
      <c r="B27" s="6" t="s">
        <v>59</v>
      </c>
      <c r="C27" s="9" t="s">
        <v>98</v>
      </c>
      <c r="D27" s="6" t="s">
        <v>99</v>
      </c>
      <c r="E27" s="7" t="s">
        <v>54</v>
      </c>
      <c r="F27" s="10">
        <v>864243</v>
      </c>
    </row>
    <row r="28" spans="1:6" x14ac:dyDescent="0.15">
      <c r="A28" s="6" t="s">
        <v>39</v>
      </c>
      <c r="B28" s="6" t="s">
        <v>100</v>
      </c>
      <c r="C28" s="9" t="s">
        <v>101</v>
      </c>
      <c r="D28" s="6" t="s">
        <v>102</v>
      </c>
      <c r="E28" s="7" t="s">
        <v>49</v>
      </c>
      <c r="F28" s="10">
        <v>12289</v>
      </c>
    </row>
    <row r="29" spans="1:6" x14ac:dyDescent="0.15">
      <c r="A29" s="6" t="s">
        <v>39</v>
      </c>
      <c r="B29" s="6" t="s">
        <v>100</v>
      </c>
      <c r="C29" s="9" t="s">
        <v>103</v>
      </c>
      <c r="D29" s="6" t="s">
        <v>104</v>
      </c>
      <c r="E29" s="7" t="s">
        <v>49</v>
      </c>
      <c r="F29" s="10">
        <v>47253</v>
      </c>
    </row>
    <row r="30" spans="1:6" x14ac:dyDescent="0.15">
      <c r="A30" s="6" t="s">
        <v>58</v>
      </c>
      <c r="B30" s="6" t="s">
        <v>100</v>
      </c>
      <c r="C30" s="9" t="s">
        <v>105</v>
      </c>
      <c r="D30" s="9" t="s">
        <v>106</v>
      </c>
      <c r="E30" s="7" t="s">
        <v>46</v>
      </c>
      <c r="F30" s="10">
        <v>180700</v>
      </c>
    </row>
    <row r="31" spans="1:6" x14ac:dyDescent="0.15">
      <c r="A31" s="6" t="s">
        <v>58</v>
      </c>
      <c r="B31" s="6" t="s">
        <v>100</v>
      </c>
      <c r="C31" s="9" t="s">
        <v>107</v>
      </c>
      <c r="D31" s="9" t="s">
        <v>108</v>
      </c>
      <c r="E31" s="7" t="s">
        <v>46</v>
      </c>
      <c r="F31" s="10">
        <v>167912</v>
      </c>
    </row>
    <row r="32" spans="1:6" x14ac:dyDescent="0.15">
      <c r="A32" s="6" t="s">
        <v>39</v>
      </c>
      <c r="B32" s="6" t="s">
        <v>100</v>
      </c>
      <c r="C32" s="9" t="s">
        <v>109</v>
      </c>
      <c r="D32" s="9" t="s">
        <v>110</v>
      </c>
      <c r="E32" s="7" t="s">
        <v>57</v>
      </c>
      <c r="F32" s="10">
        <v>356622</v>
      </c>
    </row>
    <row r="33" spans="1:6" x14ac:dyDescent="0.15">
      <c r="A33" s="6" t="s">
        <v>39</v>
      </c>
      <c r="B33" s="6" t="s">
        <v>100</v>
      </c>
      <c r="C33" s="9" t="s">
        <v>111</v>
      </c>
      <c r="D33" s="9" t="s">
        <v>112</v>
      </c>
      <c r="E33" s="7" t="s">
        <v>57</v>
      </c>
      <c r="F33" s="10">
        <v>384169</v>
      </c>
    </row>
    <row r="34" spans="1:6" x14ac:dyDescent="0.15">
      <c r="A34" s="6" t="s">
        <v>39</v>
      </c>
      <c r="B34" s="6" t="s">
        <v>100</v>
      </c>
      <c r="C34" s="9" t="s">
        <v>113</v>
      </c>
      <c r="D34" s="9" t="s">
        <v>114</v>
      </c>
      <c r="E34" s="7" t="s">
        <v>46</v>
      </c>
      <c r="F34" s="10">
        <v>226360</v>
      </c>
    </row>
    <row r="35" spans="1:6" x14ac:dyDescent="0.15">
      <c r="A35" s="6" t="s">
        <v>39</v>
      </c>
      <c r="B35" s="6" t="s">
        <v>100</v>
      </c>
      <c r="C35" s="9" t="s">
        <v>115</v>
      </c>
      <c r="D35" s="9" t="s">
        <v>116</v>
      </c>
      <c r="E35" s="7" t="s">
        <v>54</v>
      </c>
      <c r="F35" s="10">
        <v>540117</v>
      </c>
    </row>
    <row r="36" spans="1:6" x14ac:dyDescent="0.15">
      <c r="A36" s="6" t="s">
        <v>39</v>
      </c>
      <c r="B36" s="6" t="s">
        <v>100</v>
      </c>
      <c r="C36" s="9" t="s">
        <v>117</v>
      </c>
      <c r="D36" s="9" t="s">
        <v>118</v>
      </c>
      <c r="E36" s="7" t="s">
        <v>49</v>
      </c>
      <c r="F36" s="10">
        <v>121573</v>
      </c>
    </row>
    <row r="37" spans="1:6" x14ac:dyDescent="0.15">
      <c r="A37" s="6" t="s">
        <v>39</v>
      </c>
      <c r="B37" s="6" t="s">
        <v>100</v>
      </c>
      <c r="C37" s="9" t="s">
        <v>119</v>
      </c>
      <c r="D37" s="9" t="s">
        <v>120</v>
      </c>
      <c r="E37" s="7" t="s">
        <v>49</v>
      </c>
      <c r="F37" s="10">
        <v>111476</v>
      </c>
    </row>
    <row r="38" spans="1:6" x14ac:dyDescent="0.15">
      <c r="A38" s="6" t="s">
        <v>39</v>
      </c>
      <c r="B38" s="6" t="s">
        <v>100</v>
      </c>
      <c r="C38" s="9" t="s">
        <v>121</v>
      </c>
      <c r="D38" s="9" t="s">
        <v>122</v>
      </c>
      <c r="E38" s="7" t="s">
        <v>46</v>
      </c>
      <c r="F38" s="10">
        <v>234332</v>
      </c>
    </row>
    <row r="39" spans="1:6" x14ac:dyDescent="0.15">
      <c r="A39" s="6" t="s">
        <v>58</v>
      </c>
      <c r="B39" s="6" t="s">
        <v>100</v>
      </c>
      <c r="C39" s="9" t="s">
        <v>123</v>
      </c>
      <c r="D39" s="6" t="s">
        <v>124</v>
      </c>
      <c r="E39" s="7" t="s">
        <v>54</v>
      </c>
      <c r="F39" s="10">
        <v>824562</v>
      </c>
    </row>
    <row r="40" spans="1:6" x14ac:dyDescent="0.15">
      <c r="A40" s="6" t="s">
        <v>39</v>
      </c>
      <c r="B40" s="6" t="s">
        <v>100</v>
      </c>
      <c r="C40" s="9" t="s">
        <v>125</v>
      </c>
      <c r="D40" s="6" t="s">
        <v>126</v>
      </c>
      <c r="E40" s="7" t="s">
        <v>57</v>
      </c>
      <c r="F40" s="10">
        <v>444792</v>
      </c>
    </row>
    <row r="41" spans="1:6" x14ac:dyDescent="0.15">
      <c r="A41" s="6" t="s">
        <v>58</v>
      </c>
      <c r="B41" s="6" t="s">
        <v>100</v>
      </c>
      <c r="C41" s="9" t="s">
        <v>127</v>
      </c>
      <c r="D41" s="6" t="s">
        <v>128</v>
      </c>
      <c r="E41" s="7" t="s">
        <v>46</v>
      </c>
      <c r="F41" s="10">
        <v>182431</v>
      </c>
    </row>
    <row r="42" spans="1:6" x14ac:dyDescent="0.15">
      <c r="A42" s="6" t="s">
        <v>58</v>
      </c>
      <c r="B42" s="6" t="s">
        <v>100</v>
      </c>
      <c r="C42" s="9" t="s">
        <v>129</v>
      </c>
      <c r="D42" s="6" t="s">
        <v>130</v>
      </c>
      <c r="E42" s="7" t="s">
        <v>57</v>
      </c>
      <c r="F42" s="10">
        <v>327255</v>
      </c>
    </row>
    <row r="43" spans="1:6" x14ac:dyDescent="0.15">
      <c r="A43" s="6" t="s">
        <v>58</v>
      </c>
      <c r="B43" s="6" t="s">
        <v>100</v>
      </c>
      <c r="C43" s="9" t="s">
        <v>131</v>
      </c>
      <c r="D43" s="6" t="s">
        <v>132</v>
      </c>
      <c r="E43" s="7" t="s">
        <v>46</v>
      </c>
      <c r="F43" s="10">
        <v>214561</v>
      </c>
    </row>
    <row r="44" spans="1:6" x14ac:dyDescent="0.15">
      <c r="A44" s="6" t="s">
        <v>58</v>
      </c>
      <c r="B44" s="6" t="s">
        <v>100</v>
      </c>
      <c r="C44" s="9" t="s">
        <v>133</v>
      </c>
      <c r="D44" s="6" t="s">
        <v>134</v>
      </c>
      <c r="E44" s="7" t="s">
        <v>46</v>
      </c>
      <c r="F44" s="10">
        <v>219169</v>
      </c>
    </row>
    <row r="45" spans="1:6" x14ac:dyDescent="0.15">
      <c r="A45" s="6" t="s">
        <v>39</v>
      </c>
      <c r="B45" s="6" t="s">
        <v>100</v>
      </c>
      <c r="C45" s="9" t="s">
        <v>135</v>
      </c>
      <c r="D45" s="6" t="s">
        <v>136</v>
      </c>
      <c r="E45" s="7" t="s">
        <v>54</v>
      </c>
      <c r="F45" s="10">
        <v>519736</v>
      </c>
    </row>
    <row r="46" spans="1:6" x14ac:dyDescent="0.15">
      <c r="A46" s="6" t="s">
        <v>58</v>
      </c>
      <c r="B46" s="6" t="s">
        <v>100</v>
      </c>
      <c r="C46" s="9" t="s">
        <v>137</v>
      </c>
      <c r="D46" s="6" t="s">
        <v>138</v>
      </c>
      <c r="E46" s="7" t="s">
        <v>57</v>
      </c>
      <c r="F46" s="10">
        <v>299597</v>
      </c>
    </row>
    <row r="47" spans="1:6" x14ac:dyDescent="0.15">
      <c r="A47" s="6" t="s">
        <v>39</v>
      </c>
      <c r="B47" s="6" t="s">
        <v>139</v>
      </c>
      <c r="C47" s="9" t="s">
        <v>140</v>
      </c>
      <c r="D47" s="6" t="s">
        <v>141</v>
      </c>
      <c r="E47" s="7" t="s">
        <v>57</v>
      </c>
      <c r="F47" s="10">
        <v>240618</v>
      </c>
    </row>
    <row r="48" spans="1:6" x14ac:dyDescent="0.15">
      <c r="A48" s="6" t="s">
        <v>58</v>
      </c>
      <c r="B48" s="6" t="s">
        <v>139</v>
      </c>
      <c r="C48" s="9" t="s">
        <v>142</v>
      </c>
      <c r="D48" s="6" t="s">
        <v>143</v>
      </c>
      <c r="E48" s="7" t="s">
        <v>57</v>
      </c>
      <c r="F48" s="10">
        <v>321244</v>
      </c>
    </row>
    <row r="49" spans="1:6" x14ac:dyDescent="0.15">
      <c r="A49" s="6" t="s">
        <v>39</v>
      </c>
      <c r="B49" s="6" t="s">
        <v>139</v>
      </c>
      <c r="C49" s="9" t="s">
        <v>144</v>
      </c>
      <c r="D49" s="6" t="s">
        <v>145</v>
      </c>
      <c r="E49" s="7" t="s">
        <v>57</v>
      </c>
      <c r="F49" s="10">
        <v>287745</v>
      </c>
    </row>
    <row r="50" spans="1:6" x14ac:dyDescent="0.15">
      <c r="A50" s="6" t="s">
        <v>39</v>
      </c>
      <c r="B50" s="6" t="s">
        <v>139</v>
      </c>
      <c r="C50" s="9" t="s">
        <v>146</v>
      </c>
      <c r="D50" s="6" t="s">
        <v>147</v>
      </c>
      <c r="E50" s="7" t="s">
        <v>54</v>
      </c>
      <c r="F50" s="10">
        <v>805687</v>
      </c>
    </row>
    <row r="51" spans="1:6" x14ac:dyDescent="0.15">
      <c r="A51" s="6" t="s">
        <v>39</v>
      </c>
      <c r="B51" s="6" t="s">
        <v>139</v>
      </c>
      <c r="C51" s="9" t="s">
        <v>148</v>
      </c>
      <c r="D51" s="6" t="s">
        <v>149</v>
      </c>
      <c r="E51" s="7" t="s">
        <v>54</v>
      </c>
      <c r="F51" s="10">
        <v>538292</v>
      </c>
    </row>
    <row r="52" spans="1:6" x14ac:dyDescent="0.15">
      <c r="A52" s="6" t="s">
        <v>39</v>
      </c>
      <c r="B52" s="6" t="s">
        <v>139</v>
      </c>
      <c r="C52" s="9" t="s">
        <v>150</v>
      </c>
      <c r="D52" s="6" t="s">
        <v>151</v>
      </c>
      <c r="E52" s="7" t="s">
        <v>46</v>
      </c>
      <c r="F52" s="10">
        <v>211767</v>
      </c>
    </row>
    <row r="53" spans="1:6" x14ac:dyDescent="0.15">
      <c r="A53" s="6" t="s">
        <v>39</v>
      </c>
      <c r="B53" s="6" t="s">
        <v>139</v>
      </c>
      <c r="C53" s="9" t="s">
        <v>152</v>
      </c>
      <c r="D53" s="6" t="s">
        <v>153</v>
      </c>
      <c r="E53" s="7" t="s">
        <v>54</v>
      </c>
      <c r="F53" s="10">
        <v>712105</v>
      </c>
    </row>
    <row r="54" spans="1:6" x14ac:dyDescent="0.15">
      <c r="A54" s="6" t="s">
        <v>39</v>
      </c>
      <c r="B54" s="6" t="s">
        <v>154</v>
      </c>
      <c r="C54" s="9" t="s">
        <v>155</v>
      </c>
      <c r="D54" s="6" t="s">
        <v>156</v>
      </c>
      <c r="E54" s="7" t="s">
        <v>57</v>
      </c>
      <c r="F54" s="10">
        <v>420033</v>
      </c>
    </row>
    <row r="55" spans="1:6" x14ac:dyDescent="0.15">
      <c r="A55" s="6" t="s">
        <v>39</v>
      </c>
      <c r="B55" s="6" t="s">
        <v>154</v>
      </c>
      <c r="C55" s="9" t="s">
        <v>157</v>
      </c>
      <c r="D55" s="6" t="s">
        <v>158</v>
      </c>
      <c r="E55" s="7" t="s">
        <v>49</v>
      </c>
      <c r="F55" s="10">
        <v>41649</v>
      </c>
    </row>
    <row r="56" spans="1:6" x14ac:dyDescent="0.15">
      <c r="A56" s="6" t="s">
        <v>39</v>
      </c>
      <c r="B56" s="6" t="s">
        <v>154</v>
      </c>
      <c r="C56" s="9" t="s">
        <v>159</v>
      </c>
      <c r="D56" s="6" t="s">
        <v>160</v>
      </c>
      <c r="E56" s="7" t="s">
        <v>57</v>
      </c>
      <c r="F56" s="10">
        <v>319325</v>
      </c>
    </row>
    <row r="57" spans="1:6" x14ac:dyDescent="0.15">
      <c r="A57" s="6" t="s">
        <v>58</v>
      </c>
      <c r="B57" s="6" t="s">
        <v>154</v>
      </c>
      <c r="C57" s="9" t="s">
        <v>161</v>
      </c>
      <c r="D57" s="6" t="s">
        <v>162</v>
      </c>
      <c r="E57" s="7" t="s">
        <v>46</v>
      </c>
      <c r="F57" s="10">
        <v>228245</v>
      </c>
    </row>
    <row r="58" spans="1:6" x14ac:dyDescent="0.15">
      <c r="A58" s="6" t="s">
        <v>39</v>
      </c>
      <c r="B58" s="6" t="s">
        <v>163</v>
      </c>
      <c r="C58" s="9" t="s">
        <v>164</v>
      </c>
      <c r="D58" s="6" t="s">
        <v>165</v>
      </c>
      <c r="E58" s="7" t="s">
        <v>57</v>
      </c>
      <c r="F58" s="10">
        <v>295375</v>
      </c>
    </row>
    <row r="59" spans="1:6" x14ac:dyDescent="0.15">
      <c r="A59" s="6" t="s">
        <v>39</v>
      </c>
      <c r="B59" s="6" t="s">
        <v>163</v>
      </c>
      <c r="C59" s="9" t="s">
        <v>166</v>
      </c>
      <c r="D59" s="6" t="s">
        <v>167</v>
      </c>
      <c r="E59" s="7" t="s">
        <v>46</v>
      </c>
      <c r="F59" s="10">
        <v>163507</v>
      </c>
    </row>
    <row r="60" spans="1:6" x14ac:dyDescent="0.15">
      <c r="A60" s="6" t="s">
        <v>39</v>
      </c>
      <c r="B60" s="6" t="s">
        <v>163</v>
      </c>
      <c r="C60" s="9" t="s">
        <v>168</v>
      </c>
      <c r="D60" s="6" t="s">
        <v>169</v>
      </c>
      <c r="E60" s="7" t="s">
        <v>54</v>
      </c>
      <c r="F60" s="10">
        <v>646919</v>
      </c>
    </row>
    <row r="61" spans="1:6" x14ac:dyDescent="0.15">
      <c r="A61" s="6" t="s">
        <v>58</v>
      </c>
      <c r="B61" s="6" t="s">
        <v>163</v>
      </c>
      <c r="C61" s="9" t="s">
        <v>170</v>
      </c>
      <c r="D61" s="11" t="s">
        <v>171</v>
      </c>
      <c r="E61" s="7" t="s">
        <v>46</v>
      </c>
      <c r="F61" s="10">
        <v>166000</v>
      </c>
    </row>
    <row r="62" spans="1:6" x14ac:dyDescent="0.15">
      <c r="A62" s="6" t="s">
        <v>39</v>
      </c>
      <c r="B62" s="6" t="s">
        <v>163</v>
      </c>
      <c r="C62" s="9" t="s">
        <v>172</v>
      </c>
      <c r="D62" s="6" t="s">
        <v>173</v>
      </c>
      <c r="E62" s="7" t="s">
        <v>46</v>
      </c>
      <c r="F62" s="10">
        <v>142156</v>
      </c>
    </row>
    <row r="63" spans="1:6" x14ac:dyDescent="0.15">
      <c r="A63" s="6" t="s">
        <v>39</v>
      </c>
      <c r="B63" s="6" t="s">
        <v>174</v>
      </c>
      <c r="C63" s="9" t="s">
        <v>175</v>
      </c>
      <c r="D63" s="6" t="s">
        <v>176</v>
      </c>
      <c r="E63" s="7" t="s">
        <v>46</v>
      </c>
      <c r="F63" s="10">
        <v>162326</v>
      </c>
    </row>
    <row r="64" spans="1:6" x14ac:dyDescent="0.15">
      <c r="A64" s="6" t="s">
        <v>39</v>
      </c>
      <c r="B64" s="6" t="s">
        <v>174</v>
      </c>
      <c r="C64" s="9" t="s">
        <v>177</v>
      </c>
      <c r="D64" s="6" t="s">
        <v>178</v>
      </c>
      <c r="E64" s="7" t="s">
        <v>46</v>
      </c>
      <c r="F64" s="10">
        <v>226554</v>
      </c>
    </row>
    <row r="65" spans="1:6" x14ac:dyDescent="0.15">
      <c r="A65" s="6" t="s">
        <v>39</v>
      </c>
      <c r="B65" s="6" t="s">
        <v>174</v>
      </c>
      <c r="C65" s="9" t="s">
        <v>179</v>
      </c>
      <c r="D65" s="6" t="s">
        <v>180</v>
      </c>
      <c r="E65" s="7" t="s">
        <v>57</v>
      </c>
      <c r="F65" s="10">
        <v>279885</v>
      </c>
    </row>
    <row r="66" spans="1:6" x14ac:dyDescent="0.15">
      <c r="A66" s="6" t="s">
        <v>39</v>
      </c>
      <c r="B66" s="6" t="s">
        <v>174</v>
      </c>
      <c r="C66" s="9" t="s">
        <v>181</v>
      </c>
      <c r="D66" s="6" t="s">
        <v>182</v>
      </c>
      <c r="E66" s="7" t="s">
        <v>46</v>
      </c>
      <c r="F66" s="10">
        <v>129764</v>
      </c>
    </row>
    <row r="67" spans="1:6" x14ac:dyDescent="0.15">
      <c r="A67" s="6" t="s">
        <v>39</v>
      </c>
      <c r="B67" s="6" t="s">
        <v>174</v>
      </c>
      <c r="C67" s="9" t="s">
        <v>183</v>
      </c>
      <c r="D67" s="6" t="s">
        <v>184</v>
      </c>
      <c r="E67" s="7" t="s">
        <v>46</v>
      </c>
      <c r="F67" s="10">
        <v>170711</v>
      </c>
    </row>
    <row r="68" spans="1:6" x14ac:dyDescent="0.15">
      <c r="A68" s="6" t="s">
        <v>58</v>
      </c>
      <c r="B68" s="6" t="s">
        <v>174</v>
      </c>
      <c r="C68" s="9" t="s">
        <v>185</v>
      </c>
      <c r="D68" s="6" t="s">
        <v>186</v>
      </c>
      <c r="E68" s="7" t="s">
        <v>54</v>
      </c>
      <c r="F68" s="10">
        <v>596643</v>
      </c>
    </row>
    <row r="69" spans="1:6" x14ac:dyDescent="0.15">
      <c r="A69" s="6" t="s">
        <v>39</v>
      </c>
      <c r="B69" s="6" t="s">
        <v>174</v>
      </c>
      <c r="C69" s="9" t="s">
        <v>187</v>
      </c>
      <c r="D69" s="6" t="s">
        <v>188</v>
      </c>
      <c r="E69" s="7" t="s">
        <v>46</v>
      </c>
      <c r="F69" s="10">
        <v>177711</v>
      </c>
    </row>
    <row r="70" spans="1:6" x14ac:dyDescent="0.15">
      <c r="A70" s="6" t="s">
        <v>39</v>
      </c>
      <c r="B70" s="6" t="s">
        <v>189</v>
      </c>
      <c r="C70" s="9" t="s">
        <v>190</v>
      </c>
      <c r="D70" s="6" t="s">
        <v>191</v>
      </c>
      <c r="E70" s="7" t="s">
        <v>57</v>
      </c>
      <c r="F70" s="10">
        <v>261704</v>
      </c>
    </row>
    <row r="71" spans="1:6" x14ac:dyDescent="0.15">
      <c r="A71" s="6" t="s">
        <v>39</v>
      </c>
      <c r="B71" s="6" t="s">
        <v>189</v>
      </c>
      <c r="C71" s="9" t="s">
        <v>192</v>
      </c>
      <c r="D71" s="6" t="s">
        <v>193</v>
      </c>
      <c r="E71" s="7" t="s">
        <v>54</v>
      </c>
      <c r="F71" s="10">
        <v>509749</v>
      </c>
    </row>
    <row r="72" spans="1:6" x14ac:dyDescent="0.15">
      <c r="A72" s="6" t="s">
        <v>39</v>
      </c>
      <c r="B72" s="6" t="s">
        <v>189</v>
      </c>
      <c r="C72" s="9" t="s">
        <v>194</v>
      </c>
      <c r="D72" s="6" t="s">
        <v>195</v>
      </c>
      <c r="E72" s="7" t="s">
        <v>46</v>
      </c>
      <c r="F72" s="10">
        <v>181794</v>
      </c>
    </row>
    <row r="73" spans="1:6" x14ac:dyDescent="0.15">
      <c r="A73" s="6" t="s">
        <v>39</v>
      </c>
      <c r="B73" s="6" t="s">
        <v>189</v>
      </c>
      <c r="C73" s="9" t="s">
        <v>196</v>
      </c>
      <c r="D73" s="6" t="s">
        <v>197</v>
      </c>
      <c r="E73" s="7" t="s">
        <v>57</v>
      </c>
      <c r="F73" s="10">
        <v>468069</v>
      </c>
    </row>
    <row r="74" spans="1:6" x14ac:dyDescent="0.15">
      <c r="A74" s="6" t="s">
        <v>39</v>
      </c>
      <c r="B74" s="6" t="s">
        <v>189</v>
      </c>
      <c r="C74" s="9" t="s">
        <v>198</v>
      </c>
      <c r="D74" s="6" t="s">
        <v>199</v>
      </c>
      <c r="E74" s="7" t="s">
        <v>43</v>
      </c>
      <c r="F74" s="10">
        <v>1163867</v>
      </c>
    </row>
    <row r="75" spans="1:6" x14ac:dyDescent="0.15">
      <c r="A75" s="6" t="s">
        <v>39</v>
      </c>
      <c r="B75" s="6" t="s">
        <v>189</v>
      </c>
      <c r="C75" s="9" t="s">
        <v>200</v>
      </c>
      <c r="D75" s="6" t="s">
        <v>201</v>
      </c>
      <c r="E75" s="7" t="s">
        <v>46</v>
      </c>
      <c r="F75" s="10">
        <v>180513</v>
      </c>
    </row>
    <row r="76" spans="1:6" x14ac:dyDescent="0.15">
      <c r="A76" s="6" t="s">
        <v>39</v>
      </c>
      <c r="B76" s="6" t="s">
        <v>189</v>
      </c>
      <c r="C76" s="9" t="s">
        <v>202</v>
      </c>
      <c r="D76" s="6" t="s">
        <v>203</v>
      </c>
      <c r="E76" s="7" t="s">
        <v>54</v>
      </c>
      <c r="F76" s="10">
        <v>976752</v>
      </c>
    </row>
    <row r="77" spans="1:6" x14ac:dyDescent="0.15">
      <c r="A77" s="6" t="s">
        <v>39</v>
      </c>
      <c r="B77" s="6" t="s">
        <v>189</v>
      </c>
      <c r="C77" s="9" t="s">
        <v>204</v>
      </c>
      <c r="D77" s="6" t="s">
        <v>205</v>
      </c>
      <c r="E77" s="7" t="s">
        <v>57</v>
      </c>
      <c r="F77" s="10">
        <v>253740</v>
      </c>
    </row>
    <row r="78" spans="1:6" x14ac:dyDescent="0.15">
      <c r="A78" s="6" t="s">
        <v>39</v>
      </c>
      <c r="B78" s="6" t="s">
        <v>189</v>
      </c>
      <c r="C78" s="9" t="s">
        <v>206</v>
      </c>
      <c r="D78" s="6" t="s">
        <v>207</v>
      </c>
      <c r="E78" s="7" t="s">
        <v>57</v>
      </c>
      <c r="F78" s="10">
        <v>375601</v>
      </c>
    </row>
    <row r="79" spans="1:6" x14ac:dyDescent="0.15">
      <c r="A79" s="6" t="s">
        <v>58</v>
      </c>
      <c r="B79" s="6" t="s">
        <v>189</v>
      </c>
      <c r="C79" s="9" t="s">
        <v>208</v>
      </c>
      <c r="D79" s="6" t="s">
        <v>209</v>
      </c>
      <c r="E79" s="7" t="s">
        <v>49</v>
      </c>
      <c r="F79" s="10">
        <v>122070</v>
      </c>
    </row>
    <row r="80" spans="1:6" x14ac:dyDescent="0.15">
      <c r="A80" s="6" t="s">
        <v>58</v>
      </c>
      <c r="B80" s="6" t="s">
        <v>189</v>
      </c>
      <c r="C80" s="9" t="s">
        <v>210</v>
      </c>
      <c r="D80" s="6" t="s">
        <v>211</v>
      </c>
      <c r="E80" s="7" t="s">
        <v>57</v>
      </c>
      <c r="F80" s="10">
        <v>323854</v>
      </c>
    </row>
    <row r="81" spans="1:6" x14ac:dyDescent="0.15">
      <c r="A81" s="6" t="s">
        <v>39</v>
      </c>
      <c r="B81" s="6" t="s">
        <v>189</v>
      </c>
      <c r="C81" s="9" t="s">
        <v>212</v>
      </c>
      <c r="D81" s="6" t="s">
        <v>213</v>
      </c>
      <c r="E81" s="7" t="s">
        <v>57</v>
      </c>
      <c r="F81" s="10">
        <v>466507</v>
      </c>
    </row>
    <row r="82" spans="1:6" x14ac:dyDescent="0.15">
      <c r="A82" s="6" t="s">
        <v>39</v>
      </c>
      <c r="B82" s="6" t="s">
        <v>214</v>
      </c>
      <c r="C82" s="9" t="s">
        <v>215</v>
      </c>
      <c r="D82" s="6" t="s">
        <v>216</v>
      </c>
      <c r="E82" s="7" t="s">
        <v>54</v>
      </c>
      <c r="F82" s="10">
        <v>710694</v>
      </c>
    </row>
    <row r="83" spans="1:6" x14ac:dyDescent="0.15">
      <c r="A83" s="6" t="s">
        <v>39</v>
      </c>
      <c r="B83" s="6" t="s">
        <v>214</v>
      </c>
      <c r="C83" s="9" t="s">
        <v>217</v>
      </c>
      <c r="D83" s="6" t="s">
        <v>218</v>
      </c>
      <c r="E83" s="7" t="s">
        <v>49</v>
      </c>
      <c r="F83" s="10">
        <v>83617</v>
      </c>
    </row>
    <row r="84" spans="1:6" x14ac:dyDescent="0.15">
      <c r="A84" s="6" t="s">
        <v>39</v>
      </c>
      <c r="B84" s="6" t="s">
        <v>214</v>
      </c>
      <c r="C84" s="9" t="s">
        <v>219</v>
      </c>
      <c r="D84" s="6" t="s">
        <v>220</v>
      </c>
      <c r="E84" s="7" t="s">
        <v>54</v>
      </c>
      <c r="F84" s="10">
        <v>491588</v>
      </c>
    </row>
    <row r="85" spans="1:6" x14ac:dyDescent="0.15">
      <c r="A85" s="6" t="s">
        <v>39</v>
      </c>
      <c r="B85" s="6" t="s">
        <v>214</v>
      </c>
      <c r="C85" s="9" t="s">
        <v>221</v>
      </c>
      <c r="D85" s="6" t="s">
        <v>222</v>
      </c>
      <c r="E85" s="7" t="s">
        <v>43</v>
      </c>
      <c r="F85" s="10">
        <v>3401500</v>
      </c>
    </row>
    <row r="86" spans="1:6" x14ac:dyDescent="0.15">
      <c r="A86" s="6" t="s">
        <v>58</v>
      </c>
      <c r="B86" s="6" t="s">
        <v>214</v>
      </c>
      <c r="C86" s="9" t="s">
        <v>223</v>
      </c>
      <c r="D86" s="6" t="s">
        <v>224</v>
      </c>
      <c r="E86" s="7" t="s">
        <v>57</v>
      </c>
      <c r="F86" s="10">
        <v>424126</v>
      </c>
    </row>
    <row r="87" spans="1:6" x14ac:dyDescent="0.15">
      <c r="A87" s="6" t="s">
        <v>39</v>
      </c>
      <c r="B87" s="6" t="s">
        <v>214</v>
      </c>
      <c r="C87" s="9" t="s">
        <v>225</v>
      </c>
      <c r="D87" s="6" t="s">
        <v>226</v>
      </c>
      <c r="E87" s="7" t="s">
        <v>54</v>
      </c>
      <c r="F87" s="10">
        <v>751189</v>
      </c>
    </row>
    <row r="88" spans="1:6" x14ac:dyDescent="0.15">
      <c r="A88" s="6" t="s">
        <v>39</v>
      </c>
      <c r="B88" s="6" t="s">
        <v>214</v>
      </c>
      <c r="C88" s="9" t="s">
        <v>227</v>
      </c>
      <c r="D88" s="6" t="s">
        <v>228</v>
      </c>
      <c r="E88" s="7" t="s">
        <v>49</v>
      </c>
      <c r="F88" s="10">
        <v>52842</v>
      </c>
    </row>
    <row r="89" spans="1:6" x14ac:dyDescent="0.15">
      <c r="A89" s="6" t="s">
        <v>39</v>
      </c>
      <c r="B89" s="6" t="s">
        <v>214</v>
      </c>
      <c r="C89" s="9" t="s">
        <v>229</v>
      </c>
      <c r="D89" s="6" t="s">
        <v>230</v>
      </c>
      <c r="E89" s="7" t="s">
        <v>57</v>
      </c>
      <c r="F89" s="10">
        <v>255713</v>
      </c>
    </row>
    <row r="90" spans="1:6" x14ac:dyDescent="0.15">
      <c r="A90" s="6" t="s">
        <v>39</v>
      </c>
      <c r="B90" s="6" t="s">
        <v>214</v>
      </c>
      <c r="C90" s="9" t="s">
        <v>231</v>
      </c>
      <c r="D90" s="6" t="s">
        <v>232</v>
      </c>
      <c r="E90" s="7" t="s">
        <v>57</v>
      </c>
      <c r="F90" s="10">
        <v>278801</v>
      </c>
    </row>
    <row r="91" spans="1:6" x14ac:dyDescent="0.15">
      <c r="A91" s="6" t="s">
        <v>39</v>
      </c>
      <c r="B91" s="6" t="s">
        <v>214</v>
      </c>
      <c r="C91" s="9" t="s">
        <v>233</v>
      </c>
      <c r="D91" s="6" t="s">
        <v>234</v>
      </c>
      <c r="E91" s="7" t="s">
        <v>49</v>
      </c>
      <c r="F91" s="10">
        <v>119275</v>
      </c>
    </row>
    <row r="92" spans="1:6" x14ac:dyDescent="0.15">
      <c r="A92" s="6" t="s">
        <v>39</v>
      </c>
      <c r="B92" s="6" t="s">
        <v>214</v>
      </c>
      <c r="C92" s="9" t="s">
        <v>235</v>
      </c>
      <c r="D92" s="6" t="s">
        <v>236</v>
      </c>
      <c r="E92" s="7" t="s">
        <v>54</v>
      </c>
      <c r="F92" s="10">
        <v>613630</v>
      </c>
    </row>
    <row r="93" spans="1:6" x14ac:dyDescent="0.15">
      <c r="A93" s="6" t="s">
        <v>39</v>
      </c>
      <c r="B93" s="6" t="s">
        <v>214</v>
      </c>
      <c r="C93" s="9" t="s">
        <v>237</v>
      </c>
      <c r="D93" s="6" t="s">
        <v>238</v>
      </c>
      <c r="E93" s="7" t="s">
        <v>57</v>
      </c>
      <c r="F93" s="10">
        <v>452693</v>
      </c>
    </row>
    <row r="94" spans="1:6" x14ac:dyDescent="0.15">
      <c r="A94" s="6" t="s">
        <v>58</v>
      </c>
      <c r="B94" s="6" t="s">
        <v>214</v>
      </c>
      <c r="C94" s="9" t="s">
        <v>239</v>
      </c>
      <c r="D94" s="6" t="s">
        <v>240</v>
      </c>
      <c r="E94" s="7" t="s">
        <v>54</v>
      </c>
      <c r="F94" s="10">
        <v>740397</v>
      </c>
    </row>
    <row r="95" spans="1:6" x14ac:dyDescent="0.15">
      <c r="A95" s="6" t="s">
        <v>39</v>
      </c>
      <c r="B95" s="6" t="s">
        <v>214</v>
      </c>
      <c r="C95" s="9" t="s">
        <v>241</v>
      </c>
      <c r="D95" s="6" t="s">
        <v>242</v>
      </c>
      <c r="E95" s="7" t="s">
        <v>43</v>
      </c>
      <c r="F95" s="10">
        <v>3129712</v>
      </c>
    </row>
    <row r="96" spans="1:6" x14ac:dyDescent="0.15">
      <c r="A96" s="6" t="s">
        <v>39</v>
      </c>
      <c r="B96" s="6" t="s">
        <v>214</v>
      </c>
      <c r="C96" s="9" t="s">
        <v>243</v>
      </c>
      <c r="D96" s="6" t="s">
        <v>244</v>
      </c>
      <c r="E96" s="7" t="s">
        <v>46</v>
      </c>
      <c r="F96" s="10">
        <v>152027</v>
      </c>
    </row>
    <row r="97" spans="1:6" x14ac:dyDescent="0.15">
      <c r="A97" s="6" t="s">
        <v>39</v>
      </c>
      <c r="B97" s="6" t="s">
        <v>245</v>
      </c>
      <c r="C97" s="9" t="s">
        <v>246</v>
      </c>
      <c r="D97" s="6" t="s">
        <v>247</v>
      </c>
      <c r="E97" s="7" t="s">
        <v>46</v>
      </c>
      <c r="F97" s="10">
        <v>224160</v>
      </c>
    </row>
    <row r="98" spans="1:6" x14ac:dyDescent="0.15">
      <c r="A98" s="6" t="s">
        <v>58</v>
      </c>
      <c r="B98" s="6" t="s">
        <v>245</v>
      </c>
      <c r="C98" s="9" t="s">
        <v>248</v>
      </c>
      <c r="D98" s="6" t="s">
        <v>249</v>
      </c>
      <c r="E98" s="7" t="s">
        <v>46</v>
      </c>
      <c r="F98" s="10">
        <v>182021</v>
      </c>
    </row>
    <row r="99" spans="1:6" x14ac:dyDescent="0.15">
      <c r="A99" s="6" t="s">
        <v>58</v>
      </c>
      <c r="B99" s="6" t="s">
        <v>245</v>
      </c>
      <c r="C99" s="9" t="s">
        <v>250</v>
      </c>
      <c r="D99" s="6" t="s">
        <v>251</v>
      </c>
      <c r="E99" s="7" t="s">
        <v>54</v>
      </c>
      <c r="F99" s="10">
        <v>774350</v>
      </c>
    </row>
    <row r="100" spans="1:6" x14ac:dyDescent="0.15">
      <c r="A100" s="6" t="s">
        <v>39</v>
      </c>
      <c r="B100" s="6" t="s">
        <v>245</v>
      </c>
      <c r="C100" s="9" t="s">
        <v>252</v>
      </c>
      <c r="D100" s="6" t="s">
        <v>253</v>
      </c>
      <c r="E100" s="7" t="s">
        <v>54</v>
      </c>
      <c r="F100" s="10">
        <v>1169661</v>
      </c>
    </row>
    <row r="101" spans="1:6" x14ac:dyDescent="0.15">
      <c r="A101" s="6" t="s">
        <v>39</v>
      </c>
      <c r="B101" s="6" t="s">
        <v>245</v>
      </c>
      <c r="C101" s="9" t="s">
        <v>254</v>
      </c>
      <c r="D101" s="6" t="s">
        <v>255</v>
      </c>
      <c r="E101" s="7" t="s">
        <v>43</v>
      </c>
      <c r="F101" s="10">
        <v>1680605</v>
      </c>
    </row>
    <row r="102" spans="1:6" x14ac:dyDescent="0.15">
      <c r="A102" s="6" t="s">
        <v>39</v>
      </c>
      <c r="B102" s="6" t="s">
        <v>245</v>
      </c>
      <c r="C102" s="9" t="s">
        <v>256</v>
      </c>
      <c r="D102" s="6" t="s">
        <v>257</v>
      </c>
      <c r="E102" s="7" t="s">
        <v>49</v>
      </c>
      <c r="F102" s="10">
        <v>94903</v>
      </c>
    </row>
    <row r="103" spans="1:6" x14ac:dyDescent="0.15">
      <c r="A103" s="6" t="s">
        <v>58</v>
      </c>
      <c r="B103" s="6" t="s">
        <v>245</v>
      </c>
      <c r="C103" s="9" t="s">
        <v>258</v>
      </c>
      <c r="D103" s="9" t="s">
        <v>259</v>
      </c>
      <c r="E103" s="7" t="s">
        <v>46</v>
      </c>
      <c r="F103" s="10">
        <v>141650</v>
      </c>
    </row>
    <row r="104" spans="1:6" x14ac:dyDescent="0.15">
      <c r="A104" s="6" t="s">
        <v>39</v>
      </c>
      <c r="B104" s="6" t="s">
        <v>245</v>
      </c>
      <c r="C104" s="9" t="s">
        <v>260</v>
      </c>
      <c r="D104" s="9" t="s">
        <v>261</v>
      </c>
      <c r="E104" s="7" t="s">
        <v>54</v>
      </c>
      <c r="F104" s="10">
        <v>623736</v>
      </c>
    </row>
    <row r="105" spans="1:6" x14ac:dyDescent="0.15">
      <c r="A105" s="6" t="s">
        <v>39</v>
      </c>
      <c r="B105" s="6" t="s">
        <v>262</v>
      </c>
      <c r="C105" s="9" t="s">
        <v>263</v>
      </c>
      <c r="D105" s="9" t="s">
        <v>264</v>
      </c>
      <c r="E105" s="7" t="s">
        <v>46</v>
      </c>
      <c r="F105" s="10">
        <v>204383</v>
      </c>
    </row>
    <row r="106" spans="1:6" x14ac:dyDescent="0.15">
      <c r="A106" s="6" t="s">
        <v>39</v>
      </c>
      <c r="B106" s="6" t="s">
        <v>262</v>
      </c>
      <c r="C106" s="9" t="s">
        <v>265</v>
      </c>
      <c r="D106" s="9" t="s">
        <v>266</v>
      </c>
      <c r="E106" s="7" t="s">
        <v>57</v>
      </c>
      <c r="F106" s="10">
        <v>377900</v>
      </c>
    </row>
    <row r="107" spans="1:6" x14ac:dyDescent="0.15">
      <c r="A107" s="6" t="s">
        <v>39</v>
      </c>
      <c r="B107" s="6" t="s">
        <v>262</v>
      </c>
      <c r="C107" s="9" t="s">
        <v>267</v>
      </c>
      <c r="D107" s="9" t="s">
        <v>268</v>
      </c>
      <c r="E107" s="7" t="s">
        <v>54</v>
      </c>
      <c r="F107" s="10">
        <v>579487</v>
      </c>
    </row>
    <row r="108" spans="1:6" x14ac:dyDescent="0.15">
      <c r="A108" s="6" t="s">
        <v>58</v>
      </c>
      <c r="B108" s="6" t="s">
        <v>262</v>
      </c>
      <c r="C108" s="9" t="s">
        <v>269</v>
      </c>
      <c r="D108" s="9" t="s">
        <v>270</v>
      </c>
      <c r="E108" s="7" t="s">
        <v>57</v>
      </c>
      <c r="F108" s="10">
        <v>303799</v>
      </c>
    </row>
    <row r="109" spans="1:6" x14ac:dyDescent="0.15">
      <c r="A109" s="6" t="s">
        <v>39</v>
      </c>
      <c r="B109" s="6" t="s">
        <v>262</v>
      </c>
      <c r="C109" s="9" t="s">
        <v>271</v>
      </c>
      <c r="D109" s="6" t="s">
        <v>272</v>
      </c>
      <c r="E109" s="7" t="s">
        <v>57</v>
      </c>
      <c r="F109" s="10">
        <v>310712</v>
      </c>
    </row>
    <row r="110" spans="1:6" x14ac:dyDescent="0.15">
      <c r="A110" s="6" t="s">
        <v>58</v>
      </c>
      <c r="B110" s="6" t="s">
        <v>262</v>
      </c>
      <c r="C110" s="9" t="s">
        <v>273</v>
      </c>
      <c r="D110" s="6" t="s">
        <v>274</v>
      </c>
      <c r="E110" s="7" t="s">
        <v>43</v>
      </c>
      <c r="F110" s="10">
        <v>2222348</v>
      </c>
    </row>
    <row r="111" spans="1:6" x14ac:dyDescent="0.15">
      <c r="A111" s="6" t="s">
        <v>39</v>
      </c>
      <c r="B111" s="6" t="s">
        <v>275</v>
      </c>
      <c r="C111" s="9" t="s">
        <v>276</v>
      </c>
      <c r="D111" s="6" t="s">
        <v>277</v>
      </c>
      <c r="E111" s="7" t="s">
        <v>43</v>
      </c>
      <c r="F111" s="10">
        <v>3532614</v>
      </c>
    </row>
    <row r="112" spans="1:6" x14ac:dyDescent="0.15">
      <c r="A112" s="6" t="s">
        <v>39</v>
      </c>
      <c r="B112" s="6" t="s">
        <v>275</v>
      </c>
      <c r="C112" s="9" t="s">
        <v>278</v>
      </c>
      <c r="D112" s="6" t="s">
        <v>279</v>
      </c>
      <c r="E112" s="7" t="s">
        <v>57</v>
      </c>
      <c r="F112" s="10">
        <v>287998</v>
      </c>
    </row>
    <row r="113" spans="1:6" x14ac:dyDescent="0.15">
      <c r="A113" s="6" t="s">
        <v>39</v>
      </c>
      <c r="B113" s="6" t="s">
        <v>275</v>
      </c>
      <c r="C113" s="9" t="s">
        <v>280</v>
      </c>
      <c r="D113" s="6" t="s">
        <v>281</v>
      </c>
      <c r="E113" s="7" t="s">
        <v>57</v>
      </c>
      <c r="F113" s="10">
        <v>414937</v>
      </c>
    </row>
    <row r="114" spans="1:6" x14ac:dyDescent="0.15">
      <c r="A114" s="6" t="s">
        <v>39</v>
      </c>
      <c r="B114" s="6" t="s">
        <v>275</v>
      </c>
      <c r="C114" s="9" t="s">
        <v>282</v>
      </c>
      <c r="D114" s="6" t="s">
        <v>283</v>
      </c>
      <c r="E114" s="7" t="s">
        <v>54</v>
      </c>
      <c r="F114" s="10">
        <v>1527301</v>
      </c>
    </row>
    <row r="115" spans="1:6" x14ac:dyDescent="0.15">
      <c r="A115" s="6" t="s">
        <v>39</v>
      </c>
      <c r="B115" s="6" t="s">
        <v>275</v>
      </c>
      <c r="C115" s="9" t="s">
        <v>284</v>
      </c>
      <c r="D115" s="6" t="s">
        <v>285</v>
      </c>
      <c r="E115" s="7" t="s">
        <v>57</v>
      </c>
      <c r="F115" s="10">
        <v>249221</v>
      </c>
    </row>
    <row r="116" spans="1:6" x14ac:dyDescent="0.15">
      <c r="A116" s="6" t="s">
        <v>39</v>
      </c>
      <c r="B116" s="6" t="s">
        <v>275</v>
      </c>
      <c r="C116" s="9" t="s">
        <v>286</v>
      </c>
      <c r="D116" s="6" t="s">
        <v>287</v>
      </c>
      <c r="E116" s="7" t="s">
        <v>54</v>
      </c>
      <c r="F116" s="10">
        <v>522337</v>
      </c>
    </row>
    <row r="117" spans="1:6" x14ac:dyDescent="0.15">
      <c r="A117" s="6" t="s">
        <v>58</v>
      </c>
      <c r="B117" s="6" t="s">
        <v>275</v>
      </c>
      <c r="C117" s="9" t="s">
        <v>288</v>
      </c>
      <c r="D117" s="11" t="s">
        <v>289</v>
      </c>
      <c r="E117" s="7" t="s">
        <v>46</v>
      </c>
      <c r="F117" s="10">
        <v>233333.33333333299</v>
      </c>
    </row>
    <row r="118" spans="1:6" x14ac:dyDescent="0.15">
      <c r="A118" s="6" t="s">
        <v>39</v>
      </c>
      <c r="B118" s="6" t="s">
        <v>275</v>
      </c>
      <c r="C118" s="9" t="s">
        <v>290</v>
      </c>
      <c r="D118" s="6" t="s">
        <v>291</v>
      </c>
      <c r="E118" s="7" t="s">
        <v>54</v>
      </c>
      <c r="F118" s="10">
        <v>711108</v>
      </c>
    </row>
    <row r="119" spans="1:6" x14ac:dyDescent="0.15">
      <c r="A119" s="6" t="s">
        <v>39</v>
      </c>
      <c r="B119" s="6" t="s">
        <v>275</v>
      </c>
      <c r="C119" s="9" t="s">
        <v>292</v>
      </c>
      <c r="D119" s="6" t="s">
        <v>293</v>
      </c>
      <c r="E119" s="7" t="s">
        <v>57</v>
      </c>
      <c r="F119" s="10">
        <v>251927</v>
      </c>
    </row>
    <row r="120" spans="1:6" x14ac:dyDescent="0.15">
      <c r="A120" s="6" t="s">
        <v>39</v>
      </c>
      <c r="B120" s="6" t="s">
        <v>275</v>
      </c>
      <c r="C120" s="9" t="s">
        <v>294</v>
      </c>
      <c r="D120" s="6" t="s">
        <v>295</v>
      </c>
      <c r="E120" s="7" t="s">
        <v>57</v>
      </c>
      <c r="F120" s="10">
        <v>402959</v>
      </c>
    </row>
    <row r="121" spans="1:6" x14ac:dyDescent="0.15">
      <c r="A121" s="6" t="s">
        <v>39</v>
      </c>
      <c r="B121" s="6" t="s">
        <v>275</v>
      </c>
      <c r="C121" s="9" t="s">
        <v>296</v>
      </c>
      <c r="D121" s="6" t="s">
        <v>297</v>
      </c>
      <c r="E121" s="7" t="s">
        <v>49</v>
      </c>
      <c r="F121" s="10">
        <v>94097</v>
      </c>
    </row>
    <row r="122" spans="1:6" x14ac:dyDescent="0.15">
      <c r="A122" s="6" t="s">
        <v>39</v>
      </c>
      <c r="B122" s="6" t="s">
        <v>275</v>
      </c>
      <c r="C122" s="9" t="s">
        <v>298</v>
      </c>
      <c r="D122" s="6" t="s">
        <v>299</v>
      </c>
      <c r="E122" s="7" t="s">
        <v>54</v>
      </c>
      <c r="F122" s="10">
        <v>557040</v>
      </c>
    </row>
    <row r="123" spans="1:6" x14ac:dyDescent="0.15">
      <c r="A123" s="6" t="s">
        <v>39</v>
      </c>
      <c r="B123" s="6" t="s">
        <v>275</v>
      </c>
      <c r="C123" s="9" t="s">
        <v>300</v>
      </c>
      <c r="D123" s="6" t="s">
        <v>301</v>
      </c>
      <c r="E123" s="7" t="s">
        <v>46</v>
      </c>
      <c r="F123" s="10">
        <v>153146</v>
      </c>
    </row>
    <row r="124" spans="1:6" x14ac:dyDescent="0.15">
      <c r="A124" s="6" t="s">
        <v>39</v>
      </c>
      <c r="B124" s="6" t="s">
        <v>302</v>
      </c>
      <c r="C124" s="9" t="s">
        <v>303</v>
      </c>
      <c r="D124" s="6" t="s">
        <v>304</v>
      </c>
      <c r="E124" s="7" t="s">
        <v>57</v>
      </c>
      <c r="F124" s="10">
        <v>459110</v>
      </c>
    </row>
    <row r="125" spans="1:6" x14ac:dyDescent="0.15">
      <c r="A125" s="6" t="s">
        <v>39</v>
      </c>
      <c r="B125" s="6" t="s">
        <v>302</v>
      </c>
      <c r="C125" s="9" t="s">
        <v>305</v>
      </c>
      <c r="D125" s="6" t="s">
        <v>306</v>
      </c>
      <c r="E125" s="7" t="s">
        <v>49</v>
      </c>
      <c r="F125" s="10">
        <v>83333.333333333299</v>
      </c>
    </row>
    <row r="126" spans="1:6" x14ac:dyDescent="0.15">
      <c r="A126" s="6" t="s">
        <v>39</v>
      </c>
      <c r="B126" s="6" t="s">
        <v>302</v>
      </c>
      <c r="C126" s="9" t="s">
        <v>307</v>
      </c>
      <c r="D126" s="6" t="s">
        <v>308</v>
      </c>
      <c r="E126" s="7" t="s">
        <v>54</v>
      </c>
      <c r="F126" s="10">
        <v>534608</v>
      </c>
    </row>
    <row r="127" spans="1:6" x14ac:dyDescent="0.15">
      <c r="A127" s="6" t="s">
        <v>39</v>
      </c>
      <c r="B127" s="6" t="s">
        <v>302</v>
      </c>
      <c r="C127" s="9" t="s">
        <v>309</v>
      </c>
      <c r="D127" s="6" t="s">
        <v>310</v>
      </c>
      <c r="E127" s="7" t="s">
        <v>49</v>
      </c>
      <c r="F127" s="10">
        <v>13286</v>
      </c>
    </row>
    <row r="128" spans="1:6" x14ac:dyDescent="0.15">
      <c r="A128" s="6" t="s">
        <v>39</v>
      </c>
      <c r="B128" s="6" t="s">
        <v>302</v>
      </c>
      <c r="C128" s="9" t="s">
        <v>311</v>
      </c>
      <c r="D128" s="6" t="s">
        <v>312</v>
      </c>
      <c r="E128" s="7" t="s">
        <v>57</v>
      </c>
      <c r="F128" s="10">
        <v>346720</v>
      </c>
    </row>
    <row r="129" spans="1:6" x14ac:dyDescent="0.15">
      <c r="A129" s="6" t="s">
        <v>39</v>
      </c>
      <c r="B129" s="6" t="s">
        <v>302</v>
      </c>
      <c r="C129" s="9" t="s">
        <v>313</v>
      </c>
      <c r="D129" s="6" t="s">
        <v>314</v>
      </c>
      <c r="E129" s="7" t="s">
        <v>54</v>
      </c>
      <c r="F129" s="10">
        <v>676535</v>
      </c>
    </row>
    <row r="130" spans="1:6" x14ac:dyDescent="0.15">
      <c r="A130" s="6" t="s">
        <v>39</v>
      </c>
      <c r="B130" s="6" t="s">
        <v>302</v>
      </c>
      <c r="C130" s="9" t="s">
        <v>315</v>
      </c>
      <c r="D130" s="11" t="s">
        <v>316</v>
      </c>
      <c r="E130" s="7" t="s">
        <v>57</v>
      </c>
      <c r="F130" s="10">
        <v>416666.66666666698</v>
      </c>
    </row>
    <row r="131" spans="1:6" x14ac:dyDescent="0.15">
      <c r="A131" s="6" t="s">
        <v>39</v>
      </c>
      <c r="B131" s="6" t="s">
        <v>317</v>
      </c>
      <c r="C131" s="9" t="s">
        <v>318</v>
      </c>
      <c r="D131" s="6" t="s">
        <v>319</v>
      </c>
      <c r="E131" s="7" t="s">
        <v>57</v>
      </c>
      <c r="F131" s="10">
        <v>246128</v>
      </c>
    </row>
    <row r="132" spans="1:6" x14ac:dyDescent="0.15">
      <c r="A132" s="6" t="s">
        <v>58</v>
      </c>
      <c r="B132" s="6" t="s">
        <v>317</v>
      </c>
      <c r="C132" s="9" t="s">
        <v>320</v>
      </c>
      <c r="D132" s="6" t="s">
        <v>321</v>
      </c>
      <c r="E132" s="7" t="s">
        <v>57</v>
      </c>
      <c r="F132" s="10">
        <v>278098</v>
      </c>
    </row>
    <row r="133" spans="1:6" x14ac:dyDescent="0.15">
      <c r="A133" s="6" t="s">
        <v>39</v>
      </c>
      <c r="B133" s="6" t="s">
        <v>317</v>
      </c>
      <c r="C133" s="9" t="s">
        <v>322</v>
      </c>
      <c r="D133" s="6" t="s">
        <v>323</v>
      </c>
      <c r="E133" s="7" t="s">
        <v>57</v>
      </c>
      <c r="F133" s="10">
        <v>444402</v>
      </c>
    </row>
    <row r="134" spans="1:6" x14ac:dyDescent="0.15">
      <c r="A134" s="6" t="s">
        <v>39</v>
      </c>
      <c r="B134" s="6" t="s">
        <v>317</v>
      </c>
      <c r="C134" s="9" t="s">
        <v>324</v>
      </c>
      <c r="D134" s="6" t="s">
        <v>325</v>
      </c>
      <c r="E134" s="7" t="s">
        <v>57</v>
      </c>
      <c r="F134" s="10">
        <v>276176</v>
      </c>
    </row>
    <row r="135" spans="1:6" x14ac:dyDescent="0.15">
      <c r="A135" s="6" t="s">
        <v>39</v>
      </c>
      <c r="B135" s="6" t="s">
        <v>317</v>
      </c>
      <c r="C135" s="9" t="s">
        <v>326</v>
      </c>
      <c r="D135" s="6" t="s">
        <v>327</v>
      </c>
      <c r="E135" s="7" t="s">
        <v>57</v>
      </c>
      <c r="F135" s="10">
        <v>365401</v>
      </c>
    </row>
    <row r="136" spans="1:6" x14ac:dyDescent="0.15">
      <c r="A136" s="6" t="s">
        <v>39</v>
      </c>
      <c r="B136" s="6" t="s">
        <v>317</v>
      </c>
      <c r="C136" s="9" t="s">
        <v>328</v>
      </c>
      <c r="D136" s="6" t="s">
        <v>329</v>
      </c>
      <c r="E136" s="7" t="s">
        <v>49</v>
      </c>
      <c r="F136" s="10">
        <v>101189</v>
      </c>
    </row>
    <row r="137" spans="1:6" x14ac:dyDescent="0.15">
      <c r="A137" s="6" t="s">
        <v>58</v>
      </c>
      <c r="B137" s="6" t="s">
        <v>317</v>
      </c>
      <c r="C137" s="9" t="s">
        <v>330</v>
      </c>
      <c r="D137" s="6" t="s">
        <v>331</v>
      </c>
      <c r="E137" s="7" t="s">
        <v>46</v>
      </c>
      <c r="F137" s="10">
        <v>128937</v>
      </c>
    </row>
    <row r="138" spans="1:6" x14ac:dyDescent="0.15">
      <c r="A138" s="6" t="s">
        <v>39</v>
      </c>
      <c r="B138" s="6" t="s">
        <v>317</v>
      </c>
      <c r="C138" s="9" t="s">
        <v>332</v>
      </c>
      <c r="D138" s="6" t="s">
        <v>333</v>
      </c>
      <c r="E138" s="7" t="s">
        <v>46</v>
      </c>
      <c r="F138" s="10">
        <v>203769</v>
      </c>
    </row>
    <row r="139" spans="1:6" x14ac:dyDescent="0.15">
      <c r="A139" s="6" t="s">
        <v>39</v>
      </c>
      <c r="B139" s="6" t="s">
        <v>317</v>
      </c>
      <c r="C139" s="9" t="s">
        <v>334</v>
      </c>
      <c r="D139" s="6" t="s">
        <v>335</v>
      </c>
      <c r="E139" s="7" t="s">
        <v>57</v>
      </c>
      <c r="F139" s="10">
        <v>248421</v>
      </c>
    </row>
    <row r="140" spans="1:6" x14ac:dyDescent="0.15">
      <c r="A140" s="6" t="s">
        <v>58</v>
      </c>
      <c r="B140" s="6" t="s">
        <v>317</v>
      </c>
      <c r="C140" s="9" t="s">
        <v>336</v>
      </c>
      <c r="D140" s="11" t="s">
        <v>337</v>
      </c>
      <c r="E140" s="7" t="s">
        <v>57</v>
      </c>
      <c r="F140" s="10">
        <v>283333.33333333302</v>
      </c>
    </row>
    <row r="141" spans="1:6" x14ac:dyDescent="0.15">
      <c r="A141" s="12" t="s">
        <v>338</v>
      </c>
      <c r="B141" s="13" t="s">
        <v>275</v>
      </c>
      <c r="C141" s="14" t="s">
        <v>339</v>
      </c>
      <c r="D141" s="14" t="s">
        <v>340</v>
      </c>
      <c r="E141" s="7" t="s">
        <v>341</v>
      </c>
      <c r="F141" s="15">
        <v>768965</v>
      </c>
    </row>
    <row r="142" spans="1:6" x14ac:dyDescent="0.15">
      <c r="A142" s="12" t="s">
        <v>338</v>
      </c>
      <c r="B142" s="13" t="s">
        <v>40</v>
      </c>
      <c r="C142" s="14" t="s">
        <v>342</v>
      </c>
      <c r="D142" s="14" t="s">
        <v>343</v>
      </c>
      <c r="E142" s="7" t="s">
        <v>341</v>
      </c>
      <c r="F142" s="15">
        <v>618250</v>
      </c>
    </row>
    <row r="143" spans="1:6" x14ac:dyDescent="0.15">
      <c r="A143" s="12" t="s">
        <v>338</v>
      </c>
      <c r="B143" s="13" t="s">
        <v>189</v>
      </c>
      <c r="C143" s="14" t="s">
        <v>344</v>
      </c>
      <c r="D143" s="14" t="s">
        <v>345</v>
      </c>
      <c r="E143" s="7" t="s">
        <v>341</v>
      </c>
      <c r="F143" s="15">
        <v>524536</v>
      </c>
    </row>
    <row r="144" spans="1:6" x14ac:dyDescent="0.15">
      <c r="A144" s="12" t="s">
        <v>338</v>
      </c>
      <c r="B144" s="13" t="s">
        <v>189</v>
      </c>
      <c r="C144" s="14" t="s">
        <v>346</v>
      </c>
      <c r="D144" s="14" t="s">
        <v>347</v>
      </c>
      <c r="E144" s="7" t="s">
        <v>341</v>
      </c>
      <c r="F144" s="15">
        <v>508270</v>
      </c>
    </row>
  </sheetData>
  <phoneticPr fontId="5" type="noConversion"/>
  <conditionalFormatting sqref="C16">
    <cfRule type="duplicateValues" dxfId="36" priority="36"/>
  </conditionalFormatting>
  <conditionalFormatting sqref="C30">
    <cfRule type="duplicateValues" dxfId="35" priority="35"/>
  </conditionalFormatting>
  <conditionalFormatting sqref="D30">
    <cfRule type="duplicateValues" dxfId="34" priority="25"/>
  </conditionalFormatting>
  <conditionalFormatting sqref="C31">
    <cfRule type="duplicateValues" dxfId="33" priority="34"/>
  </conditionalFormatting>
  <conditionalFormatting sqref="D31">
    <cfRule type="duplicateValues" dxfId="32" priority="24"/>
  </conditionalFormatting>
  <conditionalFormatting sqref="C32">
    <cfRule type="duplicateValues" dxfId="31" priority="33"/>
  </conditionalFormatting>
  <conditionalFormatting sqref="D32">
    <cfRule type="duplicateValues" dxfId="30" priority="23"/>
  </conditionalFormatting>
  <conditionalFormatting sqref="C33">
    <cfRule type="duplicateValues" dxfId="29" priority="32"/>
  </conditionalFormatting>
  <conditionalFormatting sqref="D33">
    <cfRule type="duplicateValues" dxfId="28" priority="22"/>
  </conditionalFormatting>
  <conditionalFormatting sqref="C34">
    <cfRule type="duplicateValues" dxfId="27" priority="31"/>
  </conditionalFormatting>
  <conditionalFormatting sqref="D34">
    <cfRule type="duplicateValues" dxfId="26" priority="21"/>
  </conditionalFormatting>
  <conditionalFormatting sqref="C35">
    <cfRule type="duplicateValues" dxfId="25" priority="30"/>
  </conditionalFormatting>
  <conditionalFormatting sqref="D35">
    <cfRule type="duplicateValues" dxfId="24" priority="20"/>
  </conditionalFormatting>
  <conditionalFormatting sqref="C36">
    <cfRule type="duplicateValues" dxfId="23" priority="29"/>
  </conditionalFormatting>
  <conditionalFormatting sqref="D36">
    <cfRule type="duplicateValues" dxfId="22" priority="19"/>
  </conditionalFormatting>
  <conditionalFormatting sqref="C37">
    <cfRule type="duplicateValues" dxfId="21" priority="28"/>
  </conditionalFormatting>
  <conditionalFormatting sqref="D37">
    <cfRule type="duplicateValues" dxfId="20" priority="18"/>
  </conditionalFormatting>
  <conditionalFormatting sqref="C38">
    <cfRule type="duplicateValues" dxfId="19" priority="27"/>
  </conditionalFormatting>
  <conditionalFormatting sqref="D38">
    <cfRule type="duplicateValues" dxfId="18" priority="17"/>
  </conditionalFormatting>
  <conditionalFormatting sqref="C39">
    <cfRule type="duplicateValues" dxfId="17" priority="26"/>
  </conditionalFormatting>
  <conditionalFormatting sqref="D103">
    <cfRule type="duplicateValues" dxfId="16" priority="16"/>
  </conditionalFormatting>
  <conditionalFormatting sqref="C104">
    <cfRule type="duplicateValues" dxfId="15" priority="10"/>
  </conditionalFormatting>
  <conditionalFormatting sqref="D104">
    <cfRule type="duplicateValues" dxfId="14" priority="15"/>
  </conditionalFormatting>
  <conditionalFormatting sqref="C105">
    <cfRule type="duplicateValues" dxfId="13" priority="9"/>
  </conditionalFormatting>
  <conditionalFormatting sqref="D105">
    <cfRule type="duplicateValues" dxfId="12" priority="14"/>
  </conditionalFormatting>
  <conditionalFormatting sqref="C106">
    <cfRule type="duplicateValues" dxfId="11" priority="8"/>
  </conditionalFormatting>
  <conditionalFormatting sqref="D106">
    <cfRule type="duplicateValues" dxfId="10" priority="13"/>
  </conditionalFormatting>
  <conditionalFormatting sqref="C107">
    <cfRule type="duplicateValues" dxfId="9" priority="7"/>
  </conditionalFormatting>
  <conditionalFormatting sqref="D107">
    <cfRule type="duplicateValues" dxfId="8" priority="12"/>
  </conditionalFormatting>
  <conditionalFormatting sqref="C108">
    <cfRule type="duplicateValues" dxfId="7" priority="6"/>
  </conditionalFormatting>
  <conditionalFormatting sqref="D108">
    <cfRule type="duplicateValues" dxfId="6" priority="11"/>
  </conditionalFormatting>
  <conditionalFormatting sqref="C128">
    <cfRule type="duplicateValues" dxfId="5" priority="5"/>
  </conditionalFormatting>
  <conditionalFormatting sqref="C129">
    <cfRule type="duplicateValues" dxfId="4" priority="4"/>
  </conditionalFormatting>
  <conditionalFormatting sqref="C130">
    <cfRule type="duplicateValues" dxfId="3" priority="3"/>
  </conditionalFormatting>
  <conditionalFormatting sqref="C131">
    <cfRule type="duplicateValues" dxfId="2" priority="2"/>
  </conditionalFormatting>
  <conditionalFormatting sqref="C132">
    <cfRule type="duplicateValues" dxfId="1" priority="1"/>
  </conditionalFormatting>
  <conditionalFormatting sqref="C1:C15 C17:C29 C40:C103 C109:C127 C133:C144">
    <cfRule type="duplicateValues" dxfId="0" priority="37"/>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F5"/>
  <sheetViews>
    <sheetView tabSelected="1" workbookViewId="0">
      <selection activeCell="F15" sqref="F15"/>
    </sheetView>
  </sheetViews>
  <sheetFormatPr defaultColWidth="9" defaultRowHeight="14.25" x14ac:dyDescent="0.15"/>
  <cols>
    <col min="1" max="1" width="12.25" style="2" bestFit="1" customWidth="1"/>
    <col min="2" max="2" width="13.75" style="1" customWidth="1"/>
    <col min="3" max="3" width="17.125" style="1" customWidth="1"/>
    <col min="4" max="4" width="9" style="1"/>
    <col min="5" max="5" width="10.875" style="1" customWidth="1"/>
    <col min="6" max="16384" width="9" style="1"/>
  </cols>
  <sheetData>
    <row r="1" spans="1:6" s="3" customFormat="1" ht="33" customHeight="1" x14ac:dyDescent="0.15">
      <c r="A1" s="24" t="s">
        <v>523</v>
      </c>
      <c r="B1" s="4" t="s">
        <v>348</v>
      </c>
      <c r="C1" s="4" t="s">
        <v>349</v>
      </c>
      <c r="D1" s="4" t="s">
        <v>14</v>
      </c>
      <c r="E1" s="5" t="s">
        <v>350</v>
      </c>
      <c r="F1" s="4" t="s">
        <v>351</v>
      </c>
    </row>
    <row r="2" spans="1:6" x14ac:dyDescent="0.15">
      <c r="A2" s="2" t="str">
        <f>LEFT(B2,10)</f>
        <v>PRKWG2303M</v>
      </c>
      <c r="B2" s="2" t="str">
        <f>LEFT(C2,12)</f>
        <v>PRKWG2303M99</v>
      </c>
      <c r="C2" s="2" t="s">
        <v>352</v>
      </c>
      <c r="D2" s="1">
        <v>59</v>
      </c>
      <c r="E2" s="1">
        <f>ROUND(D2*0.9,0)</f>
        <v>53</v>
      </c>
      <c r="F2" s="1">
        <f>D2-E2</f>
        <v>6</v>
      </c>
    </row>
    <row r="3" spans="1:6" x14ac:dyDescent="0.15">
      <c r="A3" s="2" t="str">
        <f t="shared" ref="A3:A5" si="0">LEFT(B3,10)</f>
        <v>PRKWG2303M</v>
      </c>
      <c r="B3" s="2" t="str">
        <f>LEFT(C3,12)</f>
        <v>PRKWG2303M99</v>
      </c>
      <c r="C3" s="2" t="s">
        <v>353</v>
      </c>
      <c r="D3" s="1">
        <v>264</v>
      </c>
      <c r="E3" s="1">
        <f>ROUND(D3*0.9,0)</f>
        <v>238</v>
      </c>
      <c r="F3" s="1">
        <f>D3-E3</f>
        <v>26</v>
      </c>
    </row>
    <row r="4" spans="1:6" x14ac:dyDescent="0.15">
      <c r="A4" s="2" t="str">
        <f t="shared" si="0"/>
        <v>PRKWG2303M</v>
      </c>
      <c r="B4" s="2" t="str">
        <f>LEFT(C4,12)</f>
        <v>PRKWG2303M99</v>
      </c>
      <c r="C4" s="2" t="s">
        <v>354</v>
      </c>
      <c r="D4" s="1">
        <v>133</v>
      </c>
      <c r="E4" s="1">
        <f>ROUND(D4*0.9,0)</f>
        <v>120</v>
      </c>
      <c r="F4" s="1">
        <f>D4-E4</f>
        <v>13</v>
      </c>
    </row>
    <row r="5" spans="1:6" x14ac:dyDescent="0.15">
      <c r="A5" s="2" t="str">
        <f t="shared" si="0"/>
        <v>PRKWG2303M</v>
      </c>
      <c r="B5" s="2" t="str">
        <f>LEFT(C5,12)</f>
        <v>PRKWG2303M99</v>
      </c>
      <c r="C5" s="2" t="s">
        <v>355</v>
      </c>
      <c r="D5" s="1">
        <v>44</v>
      </c>
      <c r="E5" s="1">
        <f>ROUND(D5*0.9,0)</f>
        <v>40</v>
      </c>
      <c r="F5" s="1">
        <f>D5-E5</f>
        <v>4</v>
      </c>
    </row>
  </sheetData>
  <phoneticPr fontId="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Z2"/>
  <sheetViews>
    <sheetView workbookViewId="0">
      <pane ySplit="1" topLeftCell="A2" activePane="bottomLeft" state="frozen"/>
      <selection pane="bottomLeft" activeCell="B2" sqref="B2:E2"/>
    </sheetView>
  </sheetViews>
  <sheetFormatPr defaultColWidth="9" defaultRowHeight="13.5" x14ac:dyDescent="0.15"/>
  <cols>
    <col min="1" max="1" width="9" style="37"/>
    <col min="2" max="5" width="17" style="38" customWidth="1"/>
    <col min="6" max="26" width="9" style="38"/>
  </cols>
  <sheetData>
    <row r="1" spans="1:5" ht="30.95" customHeight="1" x14ac:dyDescent="0.15">
      <c r="B1" s="38" t="s">
        <v>352</v>
      </c>
      <c r="C1" s="38" t="s">
        <v>353</v>
      </c>
      <c r="D1" s="38" t="s">
        <v>354</v>
      </c>
      <c r="E1" s="38" t="s">
        <v>355</v>
      </c>
    </row>
    <row r="2" spans="1:5" x14ac:dyDescent="0.15">
      <c r="A2" s="37" t="s">
        <v>41</v>
      </c>
      <c r="B2" s="38">
        <v>14</v>
      </c>
      <c r="C2" s="38">
        <v>11</v>
      </c>
      <c r="D2" s="38">
        <v>13</v>
      </c>
      <c r="E2" s="38">
        <v>14</v>
      </c>
    </row>
  </sheetData>
  <phoneticPr fontId="5"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1:C34"/>
  <sheetViews>
    <sheetView zoomScale="90" zoomScaleNormal="90" workbookViewId="0">
      <selection activeCell="D14" sqref="D14"/>
    </sheetView>
  </sheetViews>
  <sheetFormatPr defaultColWidth="9" defaultRowHeight="13.5" x14ac:dyDescent="0.15"/>
  <cols>
    <col min="1" max="1" width="9" style="25"/>
    <col min="2" max="2" width="18.25" style="25" customWidth="1"/>
    <col min="3" max="3" width="52.875" style="25" customWidth="1"/>
    <col min="4" max="4" width="43.5" style="25" customWidth="1"/>
    <col min="5" max="6" width="9" style="25"/>
    <col min="7" max="7" width="40.75" style="25" customWidth="1"/>
    <col min="8" max="16384" width="9" style="25"/>
  </cols>
  <sheetData>
    <row r="1" spans="2:3" x14ac:dyDescent="0.15">
      <c r="B1" s="25" t="s">
        <v>356</v>
      </c>
    </row>
    <row r="2" spans="2:3" x14ac:dyDescent="0.15">
      <c r="B2" s="25" t="s">
        <v>576</v>
      </c>
    </row>
    <row r="3" spans="2:3" x14ac:dyDescent="0.15">
      <c r="B3" s="25" t="s">
        <v>577</v>
      </c>
    </row>
    <row r="4" spans="2:3" x14ac:dyDescent="0.15">
      <c r="B4" s="25" t="s">
        <v>578</v>
      </c>
    </row>
    <row r="5" spans="2:3" x14ac:dyDescent="0.15">
      <c r="B5" s="25" t="s">
        <v>579</v>
      </c>
    </row>
    <row r="6" spans="2:3" x14ac:dyDescent="0.15">
      <c r="B6" s="25" t="s">
        <v>581</v>
      </c>
    </row>
    <row r="8" spans="2:3" x14ac:dyDescent="0.15">
      <c r="B8" s="26" t="s">
        <v>357</v>
      </c>
    </row>
    <row r="9" spans="2:3" ht="14.25" thickBot="1" x14ac:dyDescent="0.2"/>
    <row r="10" spans="2:3" ht="14.25" thickBot="1" x14ac:dyDescent="0.2">
      <c r="B10" s="27" t="s">
        <v>526</v>
      </c>
      <c r="C10" s="27" t="s">
        <v>527</v>
      </c>
    </row>
    <row r="11" spans="2:3" ht="41.25" thickBot="1" x14ac:dyDescent="0.2">
      <c r="B11" s="27" t="s">
        <v>582</v>
      </c>
      <c r="C11" s="27" t="s">
        <v>583</v>
      </c>
    </row>
    <row r="12" spans="2:3" ht="27.75" thickBot="1" x14ac:dyDescent="0.2">
      <c r="B12" s="27" t="s">
        <v>528</v>
      </c>
      <c r="C12" s="28" t="s">
        <v>572</v>
      </c>
    </row>
    <row r="13" spans="2:3" ht="27" x14ac:dyDescent="0.15">
      <c r="B13" s="40" t="s">
        <v>529</v>
      </c>
      <c r="C13" s="29" t="s">
        <v>585</v>
      </c>
    </row>
    <row r="14" spans="2:3" ht="27.75" thickBot="1" x14ac:dyDescent="0.2">
      <c r="B14" s="41"/>
      <c r="C14" s="30" t="s">
        <v>549</v>
      </c>
    </row>
    <row r="15" spans="2:3" x14ac:dyDescent="0.15">
      <c r="B15" s="40" t="s">
        <v>530</v>
      </c>
      <c r="C15" s="29" t="s">
        <v>531</v>
      </c>
    </row>
    <row r="16" spans="2:3" x14ac:dyDescent="0.15">
      <c r="B16" s="42"/>
      <c r="C16" s="31" t="s">
        <v>550</v>
      </c>
    </row>
    <row r="17" spans="2:3" ht="14.25" thickBot="1" x14ac:dyDescent="0.2">
      <c r="B17" s="41"/>
      <c r="C17" s="30" t="s">
        <v>551</v>
      </c>
    </row>
    <row r="18" spans="2:3" ht="63" customHeight="1" thickBot="1" x14ac:dyDescent="0.2">
      <c r="B18" s="27" t="s">
        <v>532</v>
      </c>
      <c r="C18" s="28" t="s">
        <v>573</v>
      </c>
    </row>
    <row r="19" spans="2:3" ht="33" customHeight="1" thickBot="1" x14ac:dyDescent="0.2">
      <c r="B19" s="27" t="s">
        <v>533</v>
      </c>
      <c r="C19" s="28" t="s">
        <v>534</v>
      </c>
    </row>
    <row r="20" spans="2:3" ht="33" customHeight="1" x14ac:dyDescent="0.15">
      <c r="B20" s="40" t="s">
        <v>535</v>
      </c>
      <c r="C20" s="29" t="s">
        <v>552</v>
      </c>
    </row>
    <row r="21" spans="2:3" ht="33" customHeight="1" thickBot="1" x14ac:dyDescent="0.2">
      <c r="B21" s="41"/>
      <c r="C21" s="30" t="s">
        <v>553</v>
      </c>
    </row>
    <row r="22" spans="2:3" ht="54" x14ac:dyDescent="0.15">
      <c r="B22" s="25" t="s">
        <v>584</v>
      </c>
      <c r="C22" s="39" t="s">
        <v>586</v>
      </c>
    </row>
    <row r="23" spans="2:3" ht="27.75" customHeight="1" x14ac:dyDescent="0.15"/>
    <row r="24" spans="2:3" ht="13.5" customHeight="1" x14ac:dyDescent="0.15"/>
    <row r="29" spans="2:3" ht="13.5" customHeight="1" x14ac:dyDescent="0.15"/>
    <row r="34" ht="13.5" customHeight="1" x14ac:dyDescent="0.15"/>
  </sheetData>
  <mergeCells count="3">
    <mergeCell ref="B13:B14"/>
    <mergeCell ref="B15:B17"/>
    <mergeCell ref="B20:B21"/>
  </mergeCells>
  <phoneticPr fontId="5" type="noConversion"/>
  <pageMargins left="0.75" right="0.75" top="1" bottom="1" header="0.5" footer="0.5"/>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34AE2-3B72-4069-A164-3B909C5D685C}">
  <sheetPr codeName="Sheet7"/>
  <dimension ref="A1:J20"/>
  <sheetViews>
    <sheetView showGridLines="0" workbookViewId="0">
      <selection activeCell="H13" sqref="H13:H17"/>
    </sheetView>
  </sheetViews>
  <sheetFormatPr defaultRowHeight="14.25" x14ac:dyDescent="0.15"/>
  <cols>
    <col min="1" max="1" width="19.625" style="21" customWidth="1"/>
    <col min="2" max="7" width="9" style="21"/>
    <col min="8" max="8" width="18" style="21" customWidth="1"/>
    <col min="9" max="9" width="13.125" style="21" customWidth="1"/>
    <col min="10" max="10" width="50.875" style="21" customWidth="1"/>
    <col min="11" max="16384" width="9" style="21"/>
  </cols>
  <sheetData>
    <row r="1" spans="1:10" ht="15" thickBot="1" x14ac:dyDescent="0.2">
      <c r="A1" s="23" t="s">
        <v>374</v>
      </c>
      <c r="B1" s="23" t="s">
        <v>375</v>
      </c>
      <c r="C1" s="23" t="s">
        <v>376</v>
      </c>
      <c r="H1" s="32" t="s">
        <v>536</v>
      </c>
      <c r="I1" s="32" t="s">
        <v>554</v>
      </c>
      <c r="J1" s="33" t="s">
        <v>537</v>
      </c>
    </row>
    <row r="2" spans="1:10" ht="15" thickBot="1" x14ac:dyDescent="0.2">
      <c r="A2" s="22" t="s">
        <v>377</v>
      </c>
      <c r="B2" s="22">
        <v>30</v>
      </c>
      <c r="C2" s="22" t="s">
        <v>378</v>
      </c>
      <c r="H2" s="43" t="s">
        <v>538</v>
      </c>
      <c r="I2" s="43" t="s">
        <v>539</v>
      </c>
      <c r="J2" s="34" t="s">
        <v>555</v>
      </c>
    </row>
    <row r="3" spans="1:10" ht="15" thickBot="1" x14ac:dyDescent="0.2">
      <c r="A3" s="22" t="s">
        <v>379</v>
      </c>
      <c r="B3" s="22">
        <v>14</v>
      </c>
      <c r="C3" s="22" t="s">
        <v>380</v>
      </c>
      <c r="H3" s="44"/>
      <c r="I3" s="44"/>
      <c r="J3" s="35" t="s">
        <v>556</v>
      </c>
    </row>
    <row r="4" spans="1:10" ht="15" thickBot="1" x14ac:dyDescent="0.2">
      <c r="A4" s="22" t="s">
        <v>381</v>
      </c>
      <c r="B4" s="22">
        <v>15</v>
      </c>
      <c r="C4" s="22" t="s">
        <v>382</v>
      </c>
      <c r="H4" s="43" t="s">
        <v>540</v>
      </c>
      <c r="I4" s="43" t="s">
        <v>541</v>
      </c>
      <c r="J4" s="34" t="s">
        <v>557</v>
      </c>
    </row>
    <row r="5" spans="1:10" ht="15" thickBot="1" x14ac:dyDescent="0.2">
      <c r="A5" s="22" t="s">
        <v>383</v>
      </c>
      <c r="B5" s="22">
        <v>160</v>
      </c>
      <c r="C5" s="22" t="s">
        <v>384</v>
      </c>
      <c r="H5" s="45"/>
      <c r="I5" s="45"/>
      <c r="J5" s="36" t="s">
        <v>558</v>
      </c>
    </row>
    <row r="6" spans="1:10" ht="15" thickBot="1" x14ac:dyDescent="0.2">
      <c r="A6" s="22" t="s">
        <v>385</v>
      </c>
      <c r="B6" s="22">
        <v>165</v>
      </c>
      <c r="C6" s="22" t="s">
        <v>384</v>
      </c>
      <c r="H6" s="44"/>
      <c r="I6" s="44"/>
      <c r="J6" s="35" t="s">
        <v>574</v>
      </c>
    </row>
    <row r="7" spans="1:10" x14ac:dyDescent="0.15">
      <c r="H7" s="43" t="s">
        <v>559</v>
      </c>
      <c r="I7" s="43" t="s">
        <v>542</v>
      </c>
      <c r="J7" s="34" t="s">
        <v>560</v>
      </c>
    </row>
    <row r="8" spans="1:10" x14ac:dyDescent="0.15">
      <c r="H8" s="45"/>
      <c r="I8" s="45"/>
      <c r="J8" s="36" t="s">
        <v>561</v>
      </c>
    </row>
    <row r="9" spans="1:10" x14ac:dyDescent="0.15">
      <c r="H9" s="45"/>
      <c r="I9" s="45"/>
      <c r="J9" s="36" t="s">
        <v>562</v>
      </c>
    </row>
    <row r="10" spans="1:10" ht="29.25" thickBot="1" x14ac:dyDescent="0.2">
      <c r="H10" s="44"/>
      <c r="I10" s="44"/>
      <c r="J10" s="35" t="s">
        <v>575</v>
      </c>
    </row>
    <row r="11" spans="1:10" x14ac:dyDescent="0.15">
      <c r="H11" s="43" t="s">
        <v>543</v>
      </c>
      <c r="I11" s="43" t="s">
        <v>544</v>
      </c>
      <c r="J11" s="34" t="s">
        <v>563</v>
      </c>
    </row>
    <row r="12" spans="1:10" ht="15" thickBot="1" x14ac:dyDescent="0.2">
      <c r="H12" s="44"/>
      <c r="I12" s="44"/>
      <c r="J12" s="35" t="s">
        <v>564</v>
      </c>
    </row>
    <row r="13" spans="1:10" x14ac:dyDescent="0.15">
      <c r="H13" s="43" t="s">
        <v>545</v>
      </c>
      <c r="I13" s="43" t="s">
        <v>546</v>
      </c>
      <c r="J13" s="34" t="s">
        <v>565</v>
      </c>
    </row>
    <row r="14" spans="1:10" x14ac:dyDescent="0.15">
      <c r="H14" s="45"/>
      <c r="I14" s="45"/>
      <c r="J14" s="36" t="s">
        <v>566</v>
      </c>
    </row>
    <row r="15" spans="1:10" x14ac:dyDescent="0.15">
      <c r="H15" s="45"/>
      <c r="I15" s="45"/>
      <c r="J15" s="36" t="s">
        <v>567</v>
      </c>
    </row>
    <row r="16" spans="1:10" x14ac:dyDescent="0.15">
      <c r="H16" s="45"/>
      <c r="I16" s="45"/>
      <c r="J16" s="36" t="s">
        <v>568</v>
      </c>
    </row>
    <row r="17" spans="8:10" ht="15" thickBot="1" x14ac:dyDescent="0.2">
      <c r="H17" s="44"/>
      <c r="I17" s="44"/>
      <c r="J17" s="35" t="s">
        <v>569</v>
      </c>
    </row>
    <row r="18" spans="8:10" x14ac:dyDescent="0.15">
      <c r="H18" s="43" t="s">
        <v>547</v>
      </c>
      <c r="I18" s="43" t="s">
        <v>548</v>
      </c>
      <c r="J18" s="34" t="s">
        <v>570</v>
      </c>
    </row>
    <row r="19" spans="8:10" x14ac:dyDescent="0.15">
      <c r="H19" s="45"/>
      <c r="I19" s="45"/>
      <c r="J19" s="36" t="s">
        <v>571</v>
      </c>
    </row>
    <row r="20" spans="8:10" ht="15" thickBot="1" x14ac:dyDescent="0.2">
      <c r="H20" s="44"/>
      <c r="I20" s="44"/>
      <c r="J20" s="35" t="s">
        <v>580</v>
      </c>
    </row>
  </sheetData>
  <mergeCells count="12">
    <mergeCell ref="H13:H17"/>
    <mergeCell ref="I13:I17"/>
    <mergeCell ref="H7:H10"/>
    <mergeCell ref="I7:I10"/>
    <mergeCell ref="H18:H20"/>
    <mergeCell ref="I18:I20"/>
    <mergeCell ref="H2:H3"/>
    <mergeCell ref="I2:I3"/>
    <mergeCell ref="H4:H6"/>
    <mergeCell ref="I4:I6"/>
    <mergeCell ref="H11:H12"/>
    <mergeCell ref="I11:I12"/>
  </mergeCells>
  <phoneticPr fontId="6" type="noConversion"/>
  <pageMargins left="0.7" right="0.7" top="0.75" bottom="0.75" header="0.3" footer="0.3"/>
  <pageSetup paperSize="9" orientation="portrait" horizontalDpi="300"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12289" r:id="rId4" name="Button 1">
              <controlPr defaultSize="0" print="0" autoFill="0" autoPict="0" macro="[0]!加单分配_最终正确版">
                <anchor moveWithCells="1" sizeWithCells="1">
                  <from>
                    <xdr:col>4</xdr:col>
                    <xdr:colOff>133350</xdr:colOff>
                    <xdr:row>0</xdr:row>
                    <xdr:rowOff>133350</xdr:rowOff>
                  </from>
                  <to>
                    <xdr:col>5</xdr:col>
                    <xdr:colOff>400050</xdr:colOff>
                    <xdr:row>2</xdr:row>
                    <xdr:rowOff>123825</xdr:rowOff>
                  </to>
                </anchor>
              </controlPr>
            </control>
          </mc:Choice>
        </mc:AlternateContent>
        <mc:AlternateContent xmlns:mc="http://schemas.openxmlformats.org/markup-compatibility/2006">
          <mc:Choice Requires="x14">
            <control shapeId="12290" r:id="rId5" name="Button 2">
              <controlPr defaultSize="0" print="0" autoFill="0" autoPict="0" macro="[0]!按钮1_初始化数据">
                <anchor moveWithCells="1">
                  <from>
                    <xdr:col>4</xdr:col>
                    <xdr:colOff>133350</xdr:colOff>
                    <xdr:row>3</xdr:row>
                    <xdr:rowOff>171450</xdr:rowOff>
                  </from>
                  <to>
                    <xdr:col>5</xdr:col>
                    <xdr:colOff>504825</xdr:colOff>
                    <xdr:row>5</xdr:row>
                    <xdr:rowOff>171450</xdr:rowOff>
                  </to>
                </anchor>
              </controlPr>
            </control>
          </mc:Choice>
        </mc:AlternateContent>
        <mc:AlternateContent xmlns:mc="http://schemas.openxmlformats.org/markup-compatibility/2006">
          <mc:Choice Requires="x14">
            <control shapeId="12291" r:id="rId6" name="Button 3">
              <controlPr defaultSize="0" print="0" autoFill="0" autoPict="0" macro="[0]!按钮2_等级分配">
                <anchor moveWithCells="1" sizeWithCells="1">
                  <from>
                    <xdr:col>4</xdr:col>
                    <xdr:colOff>114300</xdr:colOff>
                    <xdr:row>6</xdr:row>
                    <xdr:rowOff>104775</xdr:rowOff>
                  </from>
                  <to>
                    <xdr:col>5</xdr:col>
                    <xdr:colOff>523875</xdr:colOff>
                    <xdr:row>8</xdr:row>
                    <xdr:rowOff>28575</xdr:rowOff>
                  </to>
                </anchor>
              </controlPr>
            </control>
          </mc:Choice>
        </mc:AlternateContent>
        <mc:AlternateContent xmlns:mc="http://schemas.openxmlformats.org/markup-compatibility/2006">
          <mc:Choice Requires="x14">
            <control shapeId="12292" r:id="rId7" name="Button 4">
              <controlPr defaultSize="0" print="0" autoFill="0" autoPict="0" macro="[0]!按钮3_盈余分配">
                <anchor moveWithCells="1" sizeWithCells="1">
                  <from>
                    <xdr:col>4</xdr:col>
                    <xdr:colOff>190500</xdr:colOff>
                    <xdr:row>9</xdr:row>
                    <xdr:rowOff>57150</xdr:rowOff>
                  </from>
                  <to>
                    <xdr:col>5</xdr:col>
                    <xdr:colOff>609600</xdr:colOff>
                    <xdr:row>10</xdr:row>
                    <xdr:rowOff>114300</xdr:rowOff>
                  </to>
                </anchor>
              </controlPr>
            </control>
          </mc:Choice>
        </mc:AlternateContent>
        <mc:AlternateContent xmlns:mc="http://schemas.openxmlformats.org/markup-compatibility/2006">
          <mc:Choice Requires="x14">
            <control shapeId="12293" r:id="rId8" name="Button 5">
              <controlPr defaultSize="0" print="0" autoFill="0" autoPict="0" macro="[0]!按钮4_输出结果">
                <anchor moveWithCells="1" sizeWithCells="1">
                  <from>
                    <xdr:col>4</xdr:col>
                    <xdr:colOff>257175</xdr:colOff>
                    <xdr:row>11</xdr:row>
                    <xdr:rowOff>161925</xdr:rowOff>
                  </from>
                  <to>
                    <xdr:col>6</xdr:col>
                    <xdr:colOff>47625</xdr:colOff>
                    <xdr:row>15</xdr:row>
                    <xdr:rowOff>123825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库存</vt:lpstr>
      <vt:lpstr>销售</vt:lpstr>
      <vt:lpstr>卖场等级</vt:lpstr>
      <vt:lpstr>加单数量</vt:lpstr>
      <vt:lpstr>结果格式</vt:lpstr>
      <vt:lpstr>规则</vt:lpstr>
      <vt:lpstr>参数设置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ZHANG_GUANYI</dc:creator>
  <cp:lastModifiedBy>章观怡(ELAND CHINA 成人BU 共同营业(SCM))</cp:lastModifiedBy>
  <dcterms:created xsi:type="dcterms:W3CDTF">2026-04-24T12:50:57Z</dcterms:created>
  <dcterms:modified xsi:type="dcterms:W3CDTF">2026-04-26T14:06:00Z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E179869EDCEE4B57A8D5557E5D976FA4_11</vt:lpwstr>
  </property>
  <property fmtid="{D5CDD505-2E9C-101B-9397-08002B2CF9AE}" pid="3" name="KSOReadingLayout">
    <vt:bool>true</vt:bool>
  </property>
  <property fmtid="{D5CDD505-2E9C-101B-9397-08002B2CF9AE}" pid="4" name="KSOProductBuildVer">
    <vt:lpwstr>2052-12.1.0.25865</vt:lpwstr>
  </property>
  <property fmtid="{D5CDD505-2E9C-101B-9397-08002B2CF9AE}" pid="5" name="CalculationRule">
    <vt:i4>1</vt:i4>
  </property>
</Properties>
</file>